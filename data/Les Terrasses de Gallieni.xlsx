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25a393584c41f6f2/Documents/Mon Patrimoine/Projet Immobilier/2023 Terrasses de Galieni/09 - Copropriété/Modélisation de la copropriété/"/>
    </mc:Choice>
  </mc:AlternateContent>
  <xr:revisionPtr revIDLastSave="266" documentId="13_ncr:1_{BC6B5EAF-A22B-4219-B771-90D3DDB91BC7}" xr6:coauthVersionLast="47" xr6:coauthVersionMax="47" xr10:uidLastSave="{4959D8B7-059E-45D7-8A9D-814E9D9AC1F9}"/>
  <bookViews>
    <workbookView xWindow="3525" yWindow="4590" windowWidth="28800" windowHeight="15345" activeTab="3" xr2:uid="{00000000-000D-0000-FFFF-FFFF00000000}"/>
  </bookViews>
  <sheets>
    <sheet name="Revenus" sheetId="3" r:id="rId1"/>
    <sheet name="Budget" sheetId="7" r:id="rId2"/>
    <sheet name="Propositions" sheetId="6" r:id="rId3"/>
    <sheet name="Copropriétaires" sheetId="5" r:id="rId4"/>
    <sheet name="Règle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6" l="1"/>
  <c r="G45" i="6"/>
  <c r="G44" i="6"/>
  <c r="G12" i="6"/>
  <c r="G11" i="6"/>
  <c r="G10" i="6"/>
  <c r="G9" i="6"/>
  <c r="G8" i="6"/>
  <c r="G7" i="6"/>
  <c r="G6" i="6"/>
  <c r="G5" i="6"/>
  <c r="G4" i="6"/>
  <c r="G3" i="6"/>
  <c r="G13" i="6"/>
  <c r="E20" i="6"/>
  <c r="E21" i="6"/>
  <c r="G33" i="6"/>
  <c r="G32" i="6"/>
  <c r="G42" i="6"/>
  <c r="G31" i="6"/>
  <c r="G41" i="6"/>
  <c r="G30" i="6"/>
  <c r="G40" i="6"/>
  <c r="G43" i="6"/>
  <c r="E36" i="6"/>
  <c r="E35" i="6"/>
  <c r="E24" i="6"/>
  <c r="E26" i="6"/>
  <c r="E25" i="6"/>
  <c r="G25" i="6" s="1"/>
  <c r="G47" i="6"/>
  <c r="G2" i="6"/>
  <c r="E35" i="7"/>
  <c r="D9" i="4"/>
  <c r="D8" i="4"/>
  <c r="D7" i="4"/>
  <c r="D6" i="4"/>
  <c r="D5" i="4"/>
  <c r="G16" i="6"/>
  <c r="G34" i="6"/>
  <c r="G22" i="6"/>
  <c r="G23" i="6"/>
  <c r="G29" i="6"/>
  <c r="G28" i="6"/>
  <c r="G27" i="6"/>
  <c r="G37" i="6"/>
  <c r="G38" i="6"/>
  <c r="G39" i="6"/>
  <c r="G15" i="6"/>
  <c r="G18" i="6"/>
  <c r="G19" i="6"/>
  <c r="G17" i="6"/>
  <c r="G14" i="6"/>
  <c r="D4" i="4"/>
  <c r="D2" i="4"/>
  <c r="D3" i="4"/>
  <c r="G26" i="6" l="1"/>
  <c r="G20" i="6"/>
  <c r="G21" i="6"/>
  <c r="G35" i="6"/>
  <c r="G36" i="6"/>
  <c r="G24" i="6"/>
</calcChain>
</file>

<file path=xl/sharedStrings.xml><?xml version="1.0" encoding="utf-8"?>
<sst xmlns="http://schemas.openxmlformats.org/spreadsheetml/2006/main" count="461" uniqueCount="232">
  <si>
    <t>Montant</t>
  </si>
  <si>
    <t>Avance de trésorerie</t>
  </si>
  <si>
    <t>Montant d'un marché à partir duquel la consultation du conseil syndical est obligatoire</t>
  </si>
  <si>
    <t>Montant d'un marché à partir duquel la mise en compétition est obligatoire</t>
  </si>
  <si>
    <t>Taxes</t>
  </si>
  <si>
    <t>HT</t>
  </si>
  <si>
    <t>TTC</t>
  </si>
  <si>
    <t>Victor DINE</t>
  </si>
  <si>
    <t>Total TTC</t>
  </si>
  <si>
    <t>Le conseil syndical peut dépenser cette somme au plus sans consulter les copropriétaires</t>
  </si>
  <si>
    <t>Cout</t>
  </si>
  <si>
    <t>Assurance multirisques immeuble</t>
  </si>
  <si>
    <t>Allianz</t>
  </si>
  <si>
    <t>AXA</t>
  </si>
  <si>
    <t>Assurance de protection juridique</t>
  </si>
  <si>
    <t>Assistance à réception des parties communes par un bureau d'étude, ou architecte</t>
  </si>
  <si>
    <t>ARTCADIA ARCHITECTURE</t>
  </si>
  <si>
    <t>SLA</t>
  </si>
  <si>
    <t>Contrat d'entretien des parties communes</t>
  </si>
  <si>
    <t>Maintenance des ascenceurs</t>
  </si>
  <si>
    <t>Pose de compteur d'énergies thermiques</t>
  </si>
  <si>
    <t>PROXISERVE</t>
  </si>
  <si>
    <t>OCEA</t>
  </si>
  <si>
    <t>ISTA</t>
  </si>
  <si>
    <t>Entretien porte de parking</t>
  </si>
  <si>
    <t>FERMATIC</t>
  </si>
  <si>
    <t>Contrat d'entretien de la chaudière à gaz, bois et granules</t>
  </si>
  <si>
    <t>PROCHALOR</t>
  </si>
  <si>
    <t>DELOSTAL ET THIBAULT</t>
  </si>
  <si>
    <t>(Etude) Installation, gestion et entretien d’une infrastructure collective de recharge pour véhicules électriques et hybrides rechargeables</t>
  </si>
  <si>
    <t>WAAT</t>
  </si>
  <si>
    <t>Microsoft Teams pour réunion</t>
  </si>
  <si>
    <t>Microsoft</t>
  </si>
  <si>
    <t>Lamy</t>
  </si>
  <si>
    <t>Assistance technique d'urgence en cas de sinistres sur les parties communes 24/7</t>
  </si>
  <si>
    <t>ça coute combien ?</t>
  </si>
  <si>
    <t>La police municipale peut pénétrer dans la résidence</t>
  </si>
  <si>
    <t>Mandat de 4 ans au syndic pour renégocier le contrat de gaz auprès de KOPROWATT ENERGIES</t>
  </si>
  <si>
    <t>Mandat de 4 ans au syndic pour renégocier le contrat d'électricité auprès de KOPROWATT ENERGIES</t>
  </si>
  <si>
    <t>Accès en ligne aux infos de la copropriété</t>
  </si>
  <si>
    <t>Réunion en vision Teams</t>
  </si>
  <si>
    <t>Eau froide</t>
  </si>
  <si>
    <t>Electricité</t>
  </si>
  <si>
    <t>Contrat maintenance de nettoyage</t>
  </si>
  <si>
    <t>Contrat maintenance VMC</t>
  </si>
  <si>
    <t>Contrat maintenance extincteurs</t>
  </si>
  <si>
    <t>Contrat maintenance désenfumage</t>
  </si>
  <si>
    <t>Contrat maintenance toitures</t>
  </si>
  <si>
    <t>Contrat désenfumage en circulation</t>
  </si>
  <si>
    <t>Contrat colonne sèche</t>
  </si>
  <si>
    <t>Contrat bloc secours</t>
  </si>
  <si>
    <t>Contrat ferme porte</t>
  </si>
  <si>
    <t>Entretien et réparations sur biens immobiliers</t>
  </si>
  <si>
    <t>Assurance multirisque</t>
  </si>
  <si>
    <t>Assurance protection juridique</t>
  </si>
  <si>
    <t>Rémunération du syndic Honoraires de gestion</t>
  </si>
  <si>
    <t>Frais postaux</t>
  </si>
  <si>
    <t>Frais postaux AG</t>
  </si>
  <si>
    <t>Batiment 1</t>
  </si>
  <si>
    <t>Batiment 3</t>
  </si>
  <si>
    <t>Batiment 2</t>
  </si>
  <si>
    <t>Fourniture granulés bois</t>
  </si>
  <si>
    <t>Gaz</t>
  </si>
  <si>
    <t>Contrat P2 maintenance chaufferie</t>
  </si>
  <si>
    <t>Chauffage</t>
  </si>
  <si>
    <t>Parkings souterrains</t>
  </si>
  <si>
    <t>Contrat de maintenance des portails, portes</t>
  </si>
  <si>
    <t>Contrat bacs à sable</t>
  </si>
  <si>
    <t>Contrat pompe de relevage</t>
  </si>
  <si>
    <t>Contrat ventilation parking</t>
  </si>
  <si>
    <t>Entretien et petites réparations portes et serrures</t>
  </si>
  <si>
    <t>Parking</t>
  </si>
  <si>
    <t>EAUFR</t>
  </si>
  <si>
    <t>ELECCOMM</t>
  </si>
  <si>
    <t>MAINTNETTO</t>
  </si>
  <si>
    <t>MAINTVMC</t>
  </si>
  <si>
    <t>MAINTEXT</t>
  </si>
  <si>
    <t>MAINTDESE</t>
  </si>
  <si>
    <t>MAINTTOIT</t>
  </si>
  <si>
    <t>DESCIRC</t>
  </si>
  <si>
    <t>COLONNESEC</t>
  </si>
  <si>
    <t>BLOCSEC</t>
  </si>
  <si>
    <t>FERMEPORTE</t>
  </si>
  <si>
    <t>REPARIMMO</t>
  </si>
  <si>
    <t>ASSMULTI</t>
  </si>
  <si>
    <t>ASSJURID</t>
  </si>
  <si>
    <t>SYNDIC</t>
  </si>
  <si>
    <t>FRAISPOSTAUX</t>
  </si>
  <si>
    <t>FRAISPOSTAUXAG</t>
  </si>
  <si>
    <t>GRANULEBOIS</t>
  </si>
  <si>
    <t>GAZ</t>
  </si>
  <si>
    <t>MAINTCHAUF</t>
  </si>
  <si>
    <t>MAINTPORT</t>
  </si>
  <si>
    <t>BACSABLE</t>
  </si>
  <si>
    <t>POMPERELEVAGE</t>
  </si>
  <si>
    <t>VENTILPARKING</t>
  </si>
  <si>
    <t>MAINTVERT</t>
  </si>
  <si>
    <t>Contrat de maintenance des espaces verts</t>
  </si>
  <si>
    <t>Otis</t>
  </si>
  <si>
    <t>CRAM</t>
  </si>
  <si>
    <t>Contrat maintenance ascenseurs 1-2</t>
  </si>
  <si>
    <t>Contrat maintenance ascenseurs 1-1</t>
  </si>
  <si>
    <t>Contrat maintenance ascenseurs 2</t>
  </si>
  <si>
    <t>Contrat maintenance ascenseurs 3</t>
  </si>
  <si>
    <t>ASC11</t>
  </si>
  <si>
    <t>ASC12</t>
  </si>
  <si>
    <t>ASC2</t>
  </si>
  <si>
    <t>ASC3</t>
  </si>
  <si>
    <t>REPARPORT</t>
  </si>
  <si>
    <t>Juridica</t>
  </si>
  <si>
    <t>(recommendé par courtier Belier)</t>
  </si>
  <si>
    <t>ID1</t>
  </si>
  <si>
    <t>Prestataire</t>
  </si>
  <si>
    <t>Label de la prestation</t>
  </si>
  <si>
    <t>Segment</t>
  </si>
  <si>
    <t>Classe de provision</t>
  </si>
  <si>
    <t>Label de la provision</t>
  </si>
  <si>
    <t>Provision</t>
  </si>
  <si>
    <t>Label des règles</t>
  </si>
  <si>
    <t>Limite</t>
  </si>
  <si>
    <t>Label de lot</t>
  </si>
  <si>
    <t>Nom du coproprietaire</t>
  </si>
  <si>
    <t>Numéro de lot</t>
  </si>
  <si>
    <t>Label du revenu</t>
  </si>
  <si>
    <t>Electricité de parties communes</t>
  </si>
  <si>
    <t>Syndic</t>
  </si>
  <si>
    <t>Engagement sur 2 ans</t>
  </si>
  <si>
    <t>Franchise de 380€ pour sinistre sauf pour incendie et tempête (pas de franchise)</t>
  </si>
  <si>
    <t>Franchise de 350€</t>
  </si>
  <si>
    <t>2 passage par semaine</t>
  </si>
  <si>
    <t>3 passage par semaine</t>
  </si>
  <si>
    <t>Type de prestation</t>
  </si>
  <si>
    <t>AT Plus Propre</t>
  </si>
  <si>
    <t>Option shampoing moquette avec rotorwash</t>
  </si>
  <si>
    <t>Option de lavage du parking avec nettoyeur haute pression</t>
  </si>
  <si>
    <t>KLN</t>
  </si>
  <si>
    <t>2J FERMETURES</t>
  </si>
  <si>
    <t>Option shampoing de moquette</t>
  </si>
  <si>
    <t>Option lavage du parking</t>
  </si>
  <si>
    <t>Assistance SLA</t>
  </si>
  <si>
    <t>Assistance ARTCADIA</t>
  </si>
  <si>
    <t>Assurance multirisques AXA</t>
  </si>
  <si>
    <t>Assurance multirisques Allianz</t>
  </si>
  <si>
    <t>Assurance juridique Juridica</t>
  </si>
  <si>
    <t>Entretien des parties communes 3 passages hebdo KLN</t>
  </si>
  <si>
    <t>Entretien des parties communes 3 passages par semaine AT+Propre</t>
  </si>
  <si>
    <t>Entretien des parties communes 2 passages par semaine AT+Propre</t>
  </si>
  <si>
    <t>Pose de compteur Proxiserve</t>
  </si>
  <si>
    <t>Pose de compteur Ocea</t>
  </si>
  <si>
    <t>Pose de compteur Ista</t>
  </si>
  <si>
    <t>Entretien porte de parking 2J fermetures</t>
  </si>
  <si>
    <t>Entretien porte de parking 2J fermetures avec engagement sur 2 ans</t>
  </si>
  <si>
    <t>Entretien porte de parking Fermetic</t>
  </si>
  <si>
    <t>Contrat d'entretien de la chaudière à gaz, bois et granules CRAM</t>
  </si>
  <si>
    <t>Contrat d'entretien de la chaudière à gaz, bois et granules PROCHALOR</t>
  </si>
  <si>
    <t>Contrat d'entretien de la chaudière à gaz, bois et granules D&amp;T</t>
  </si>
  <si>
    <t xml:space="preserve"> Contrat d'entretien classique 6j/7 interventions de 8h00 à 18h00 avec engagement sur 1 an, ne couvre que les 2 visites réglementaires+réparations pour usure normale. Interdit de les filmer et pas de recours pour violation de domicile possible</t>
  </si>
  <si>
    <t xml:space="preserve"> Contrat d'entretien classique 6j/7 interventions de 8h00 à 18h00 avec engagement sur 2 ans, ne couvre que les 2 visites réglementaires+réparations pour usure normale. Interdit de les filmer et pas de recours pour violation de domicile possible</t>
  </si>
  <si>
    <t>Grosse structure, ne couvre que les 2 visites réglementaires+réparation pour usure normale. Les délais d’intervention pour le contrat de base sont de 1 à 2 heures* pour une installation bloquée en position fermée, et de 2 à 8 heures* pour une intervention n’affectant pas l’entrée ou la sortie des véhicules, du lundi au vendredi, entre 8h30 et 17h30.
Des interventions en dehors de ces horaires (soir, week-end et jours fériés) peuvent être réalisées dans le cadre d’une option spécifique « astreinte 24h/24 – 7j/7 » souscrite séparément.
Les interventions sur des installations bloquées fermées ou présentant un risque immédiat pour la sécurité des usagers sont traitées en priorité par le technicien d’astreinte, selon la disponibilité et l’avancement de son planning. Les interventions sur des installations bloquées en position ouverte* pourront, en cas de surcharge liée à des interventions prioritaires, être reportées sur les jours et horaires ouvrables, sans que cela ne puisse donner lieu à réclamation ni à dédommagement.</t>
  </si>
  <si>
    <t>(devis en cours)</t>
  </si>
  <si>
    <t>1ère année offerte</t>
  </si>
  <si>
    <t>Estimation faite car absent du contrat; 1ère année offerte</t>
  </si>
  <si>
    <t>Eontrat  P2, engagement sur 3 ans</t>
  </si>
  <si>
    <t>Option traitement adoucissant eau avec engagement sur 3 ans</t>
  </si>
  <si>
    <t>Description</t>
  </si>
  <si>
    <t>Maintenance de l'ascenceur 1-1 (dessert 8 niveaux)</t>
  </si>
  <si>
    <t>Service de maintenance connectée de l'ascenceur 1-1</t>
  </si>
  <si>
    <t>Service de maintenance connectée de l'ascenceur 1-2</t>
  </si>
  <si>
    <t>Maintenance de l'ascenceur 1-2 (dessert 8 niveaux)</t>
  </si>
  <si>
    <t>Service de maintenance connectée de l'ascenceur 2</t>
  </si>
  <si>
    <t>Maintenance de l'ascenceur 2 (dessert 10 niveaux)</t>
  </si>
  <si>
    <t>Service de maintenance connectée de l'ascenceur 3</t>
  </si>
  <si>
    <t>Maintenance de l'ascenceur 3 (dessert 5 niveaux)</t>
  </si>
  <si>
    <t>Etage</t>
  </si>
  <si>
    <t>Appartement</t>
  </si>
  <si>
    <t>Batiment</t>
  </si>
  <si>
    <t>Tantièmes copropriété</t>
  </si>
  <si>
    <t>Tantièmes ascenseur 1-1</t>
  </si>
  <si>
    <t>Tantièmes ascenseur 1-2</t>
  </si>
  <si>
    <t>Tantièmes ascenseur 2</t>
  </si>
  <si>
    <t>Tantièmes chauffage</t>
  </si>
  <si>
    <t>Lot Nexity</t>
  </si>
  <si>
    <t>Tantièmes Batiment 1</t>
  </si>
  <si>
    <t>Tantièmes Batiment 2</t>
  </si>
  <si>
    <t>Tantièmes Batiment 3</t>
  </si>
  <si>
    <t>Tantièmes Hall 1-1</t>
  </si>
  <si>
    <t>Tantièmes Hall 1-2</t>
  </si>
  <si>
    <t>Tantièmes Hall 2</t>
  </si>
  <si>
    <t>Tantièmes Logement/Stationnements</t>
  </si>
  <si>
    <t>Contrat P1 Fourniture granulés bois</t>
  </si>
  <si>
    <t>Contrat P1 Gaz</t>
  </si>
  <si>
    <t>ELECBAT1</t>
  </si>
  <si>
    <t>ELECBAT2</t>
  </si>
  <si>
    <t>ELECBAT3</t>
  </si>
  <si>
    <t>Contrat maintenance ascenseur 1-1</t>
  </si>
  <si>
    <t>Contrat maintenance ascenseur 1-2</t>
  </si>
  <si>
    <t>Contrat maintenance ascenseur 2</t>
  </si>
  <si>
    <t>Contrat maintenance ascenseur 3</t>
  </si>
  <si>
    <t>Electricité du batiment 1</t>
  </si>
  <si>
    <t>Electricité du batiment 2</t>
  </si>
  <si>
    <t>Electricité du batiment 3</t>
  </si>
  <si>
    <t>Consommation d'eau</t>
  </si>
  <si>
    <t>Eau publique (Est Ensemble)</t>
  </si>
  <si>
    <t>Consommation sobre, sur la base qu'un T2 de 50m2 paie 160€ à l'année</t>
  </si>
  <si>
    <t>Consommation sobre, sur la base qu'un T2 de 50m2 paie 240€ à l'année</t>
  </si>
  <si>
    <t>Consommation sobre, sur la base qu'un T2 de 50m2 paie 370€ à l'année</t>
  </si>
  <si>
    <t>1 - Consommation d'eau sobre</t>
  </si>
  <si>
    <t>2 - Consommation d'eau rationnelle</t>
  </si>
  <si>
    <t>3 - Consommation d'eau confortable</t>
  </si>
  <si>
    <t>Fourniture de granulé de bois</t>
  </si>
  <si>
    <t>Fourniture de gaz</t>
  </si>
  <si>
    <t>Chaudière biomasse à pleine capacité</t>
  </si>
  <si>
    <t>Appoint au gaz léger</t>
  </si>
  <si>
    <t>Appoint au gaz pour augmenter la température</t>
  </si>
  <si>
    <t>Appoint au gaz pour un hiver rude</t>
  </si>
  <si>
    <t>Chaudière biomasse en fonctionnement partiel</t>
  </si>
  <si>
    <t>Chaudière biomasse en fonctionnement normal</t>
  </si>
  <si>
    <t>Tantièmes ascenseur 3</t>
  </si>
  <si>
    <t>Stationnement</t>
  </si>
  <si>
    <t>Charges communes aux habitants</t>
  </si>
  <si>
    <t>Charges communes générales</t>
  </si>
  <si>
    <t>Estimation IA</t>
  </si>
  <si>
    <t>Syndic fourcette basse</t>
  </si>
  <si>
    <t>Syndic fourcette haute</t>
  </si>
  <si>
    <t>Syndic fourcette moyenne</t>
  </si>
  <si>
    <t>Lot 225 - T4 7eme étage Batiment 2 exposé ouest</t>
  </si>
  <si>
    <t>2 - Consommation pour un hiver doux</t>
  </si>
  <si>
    <t>1 - Consommation pour un hiver très doux</t>
  </si>
  <si>
    <t>3 - Consommation pour un hiver normal</t>
  </si>
  <si>
    <t>4 - Consommation pour un hiver rude</t>
  </si>
  <si>
    <t>Lot 308 - T2 2ème étage Batiment 3 exposé ouest</t>
  </si>
  <si>
    <t>Sandrine MATTIUZ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</si>
</sst>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 [$€-40C]_-;\-* #,##0.00\ [$€-40C]_-;_-* &quot;-&quot;??\ [$€-40C]_-;_-@_-"/>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44" fontId="0" fillId="0" borderId="0" xfId="1" applyFont="1"/>
    <xf numFmtId="0" fontId="0" fillId="0" borderId="0" xfId="0" applyAlignment="1">
      <alignment wrapText="1"/>
    </xf>
    <xf numFmtId="9" fontId="0" fillId="0" borderId="0" xfId="2" applyFont="1"/>
    <xf numFmtId="44" fontId="0" fillId="0" borderId="0" xfId="0" applyNumberFormat="1"/>
    <xf numFmtId="44" fontId="0" fillId="0" borderId="0" xfId="1" applyFont="1" applyAlignment="1">
      <alignment wrapText="1"/>
    </xf>
    <xf numFmtId="164" fontId="0" fillId="0" borderId="0" xfId="1" applyNumberFormat="1" applyFont="1"/>
    <xf numFmtId="164" fontId="0" fillId="0" borderId="0" xfId="0" applyNumberFormat="1"/>
    <xf numFmtId="49" fontId="0" fillId="0" borderId="0" xfId="0" applyNumberFormat="1"/>
    <xf numFmtId="49" fontId="0" fillId="0" borderId="0" xfId="1" applyNumberFormat="1" applyFont="1"/>
    <xf numFmtId="0" fontId="0" fillId="0" borderId="0" xfId="2" applyNumberFormat="1" applyFont="1"/>
  </cellXfs>
  <cellStyles count="3">
    <cellStyle name="Monétaire" xfId="1" builtinId="4"/>
    <cellStyle name="Normal" xfId="0" builtinId="0"/>
    <cellStyle name="Pourcentage" xfId="2" builtinId="5"/>
  </cellStyles>
  <dxfs count="26">
    <dxf>
      <font>
        <b val="0"/>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numFmt numFmtId="164" formatCode="_-* #,##0.00\ [$€-40C]_-;\-* #,##0.00\ [$€-40C]_-;_-* &quot;-&quot;??\ [$€-40C]_-;_-@_-"/>
    </dxf>
    <dxf>
      <numFmt numFmtId="30" formatCode="@"/>
    </dxf>
    <dxf>
      <font>
        <b val="0"/>
        <i val="0"/>
        <strike val="0"/>
        <condense val="0"/>
        <extend val="0"/>
        <outline val="0"/>
        <shadow val="0"/>
        <u val="none"/>
        <vertAlign val="baseline"/>
        <sz val="11"/>
        <color theme="1"/>
        <name val="Calibri"/>
        <family val="2"/>
        <scheme val="minor"/>
      </font>
      <numFmt numFmtId="164" formatCode="_-* #,##0.00\ [$€-40C]_-;\-* #,##0.00\ [$€-40C]_-;_-* &quot;-&quot;??\ [$€-40C]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BAE385-571F-4715-A042-0AD7A1FDF085}" name="BdRevenus" displayName="BdRevenus" ref="A1:B2" totalsRowShown="0">
  <autoFilter ref="A1:B2" xr:uid="{B8BAE385-571F-4715-A042-0AD7A1FDF085}"/>
  <tableColumns count="2">
    <tableColumn id="2" xr3:uid="{75AB35E7-AA7F-46C7-B30C-DC2E9C862FFF}" name="Label du revenu"/>
    <tableColumn id="3" xr3:uid="{4F014B57-0040-4CC7-87A1-9B988F634586}" name="Montant"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6F05D8-067A-4813-B8D0-1D3E83D9A8C6}" name="BdBudgetPrevisionnel" displayName="BdBudgetPrevisionnel" ref="A1:E35" totalsRowCount="1">
  <autoFilter ref="A1:E34" xr:uid="{986F05D8-067A-4813-B8D0-1D3E83D9A8C6}"/>
  <sortState xmlns:xlrd2="http://schemas.microsoft.com/office/spreadsheetml/2017/richdata2" ref="A2:E34">
    <sortCondition ref="B1:B34"/>
  </sortState>
  <tableColumns count="5">
    <tableColumn id="4" xr3:uid="{E4015667-0514-4C79-B49E-EDD561CE56D6}" name="ID1"/>
    <tableColumn id="5" xr3:uid="{F17C785C-9055-484D-A7EC-C3372D32A622}" name="Segment"/>
    <tableColumn id="7" xr3:uid="{3DB4DC80-D06E-4E70-BFE9-9BB75CB5FA62}" name="Classe de provision"/>
    <tableColumn id="2" xr3:uid="{3B6645ED-EDB5-4F76-9846-790ECF4F680D}" name="Label de la provision"/>
    <tableColumn id="3" xr3:uid="{EBBDC931-D4B2-4BFA-A08F-7BA2EEB44DAA}" name="Provision" totalsRowFunction="sum" dataDxfId="9" totalsRow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A6001B-8A1B-4BBD-AB17-BC7D9D052A42}" name="BdCompetition" displayName="BdCompetition" ref="A1:H47" totalsRowShown="0">
  <autoFilter ref="A1:H47" xr:uid="{1CA6001B-8A1B-4BBD-AB17-BC7D9D052A42}"/>
  <sortState xmlns:xlrd2="http://schemas.microsoft.com/office/spreadsheetml/2017/richdata2" ref="A2:H47">
    <sortCondition ref="B1:B47"/>
  </sortState>
  <tableColumns count="8">
    <tableColumn id="1" xr3:uid="{304F6CD1-2A85-4CA9-B82A-BF03CDAE07A4}" name="Type de prestation" dataDxfId="7"/>
    <tableColumn id="2" xr3:uid="{068CBFB8-4A62-4CD4-BDAC-46EED59496BC}" name="Label de la prestation" dataDxfId="6"/>
    <tableColumn id="8" xr3:uid="{2298CECF-E998-45F7-AABA-B59C715EC51B}" name="ID1" dataDxfId="5"/>
    <tableColumn id="3" xr3:uid="{5B85ADF0-B113-45E5-864A-388F8040031F}" name="Prestataire"/>
    <tableColumn id="4" xr3:uid="{037769D5-5B3A-4710-A4BD-50FC46B19887}" name="Cout" dataDxfId="4"/>
    <tableColumn id="5" xr3:uid="{DDF49AF2-6301-4A34-B62A-4933E379FE46}" name="Taxes" dataDxfId="3"/>
    <tableColumn id="6" xr3:uid="{D3462D22-93DD-4646-AC7F-1B3471D6826C}" name="Total TTC" dataDxfId="2">
      <calculatedColumnFormula>IF(BdCompetition[[#This Row],[Taxes]]="TTC",BdCompetition[[#This Row],[Cout]],BdCompetition[[#This Row],[Cout]]*1.2)</calculatedColumnFormula>
    </tableColumn>
    <tableColumn id="7" xr3:uid="{D6BDE268-55D6-4FDC-9C89-14F909955D72}" name="Description"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EBCA3A-959D-43DA-A310-FB4D8334574B}" name="BdCoproprietaires" displayName="BdCoproprietaires" ref="A1:T7" totalsRowShown="0">
  <autoFilter ref="A1:T7" xr:uid="{3CEBCA3A-959D-43DA-A310-FB4D8334574B}"/>
  <tableColumns count="20">
    <tableColumn id="12" xr3:uid="{6157D014-929F-42D7-A4BC-12D951282608}" name="Batiment"/>
    <tableColumn id="4" xr3:uid="{81B9BF77-9818-477B-B3E8-1E987064DFDA}" name="Label de lot"/>
    <tableColumn id="1" xr3:uid="{B1F46291-565B-462F-9110-123FFF38DDEE}" name="Nom du coproprietaire"/>
    <tableColumn id="2" xr3:uid="{DE7A1664-88F0-47A5-B594-27860729EB7C}" name="Tantièmes copropriété" dataDxfId="25">
      <calculatedColumnFormula>7/10000</calculatedColumnFormula>
    </tableColumn>
    <tableColumn id="8" xr3:uid="{6082472F-2D58-4FBE-B207-F4E7921BE9CD}" name="Tantièmes ascenseur 1-1" dataDxfId="24"/>
    <tableColumn id="9" xr3:uid="{A99085F3-5429-48BD-99D6-C368BEBDE1C5}" name="Tantièmes ascenseur 1-2" dataDxfId="23"/>
    <tableColumn id="10" xr3:uid="{29D8D538-CA9C-4A95-992C-1A61F5728B38}" name="Tantièmes ascenseur 2" dataDxfId="22"/>
    <tableColumn id="11" xr3:uid="{A8F24873-3570-4882-AE65-BFA97F5FA58C}" name="Tantièmes ascenseur 3" dataDxfId="21"/>
    <tableColumn id="14" xr3:uid="{6A0D9C01-B4D3-4227-A105-5BE4105F433C}" name="Tantièmes chauffage" dataDxfId="20"/>
    <tableColumn id="15" xr3:uid="{DB773FD9-45E5-4A17-9757-9A0D7F7768AA}" name="Tantièmes Batiment 1" dataDxfId="19"/>
    <tableColumn id="16" xr3:uid="{2CD201B1-8753-466E-8776-252972944B3C}" name="Tantièmes Batiment 2" dataDxfId="18"/>
    <tableColumn id="17" xr3:uid="{0EB76A3D-2FED-4CE0-9718-92F4FC209896}" name="Tantièmes Batiment 3" dataDxfId="17"/>
    <tableColumn id="18" xr3:uid="{E820E31C-950D-4D14-8ABF-A71F86753025}" name="Tantièmes Hall 1-1" dataDxfId="16"/>
    <tableColumn id="19" xr3:uid="{48F0D008-2EAA-4A4F-A6BA-4F8DF16617F8}" name="Tantièmes Hall 1-2" dataDxfId="15"/>
    <tableColumn id="20" xr3:uid="{DD9B9883-76BB-4950-9FFB-0863C2F256EA}" name="Tantièmes Hall 2" dataDxfId="14"/>
    <tableColumn id="21" xr3:uid="{BF704940-4EA2-48AF-8BBA-B1F4C695A5E2}" name="Tantièmes Logement/Stationnements" dataDxfId="13"/>
    <tableColumn id="6" xr3:uid="{23C5575F-C8F7-420A-A8AC-4CD0404C3FB6}" name="Stationnement" dataDxfId="12"/>
    <tableColumn id="13" xr3:uid="{4AF86A31-E98F-489D-ABE5-CCD678E7BE8D}" name="Numéro de lot" dataDxfId="11"/>
    <tableColumn id="3" xr3:uid="{71861424-FDE4-4C97-8393-5794B9911F90}" name="Lot Nexity"/>
    <tableColumn id="5" xr3:uid="{99825B0E-48FC-48C3-B40C-A8763FC406C7}" name="Et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4FE941-6967-448D-B161-1A22202460B2}" name="BdRegles" displayName="BdRegles" ref="A1:D9" totalsRowShown="0">
  <autoFilter ref="A1:D9" xr:uid="{594FE941-6967-448D-B161-1A22202460B2}"/>
  <tableColumns count="4">
    <tableColumn id="1" xr3:uid="{8584E7DE-3397-4839-B3F7-5BE29387C4A6}" name="Label des règles"/>
    <tableColumn id="2" xr3:uid="{2DAB5E09-C6DA-4A52-9D36-12A8D2B9BE1E}" name="Limite" dataDxfId="0"/>
    <tableColumn id="3" xr3:uid="{4C91DD63-5027-4E87-B95E-BCB801F28C1C}" name="Taxes"/>
    <tableColumn id="4" xr3:uid="{41CB6CC9-60A9-4712-874D-13D61D2EB5DE}" name="Total TTC">
      <calculatedColumnFormula>IF(BdRegles[[#This Row],[Taxes]]="HT",BdRegles[[#This Row],[Limite]]*1.2,BdRegles[[#This Row],[Limite]])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CCDF-C1D7-473F-904E-6A9FA3872F9C}">
  <dimension ref="A1:B2"/>
  <sheetViews>
    <sheetView workbookViewId="0">
      <selection activeCell="L22" sqref="L22"/>
    </sheetView>
  </sheetViews>
  <sheetFormatPr baseColWidth="10" defaultColWidth="9.140625" defaultRowHeight="15" x14ac:dyDescent="0.25"/>
  <cols>
    <col min="1" max="1" width="33.7109375" customWidth="1"/>
    <col min="2" max="2" width="11.5703125" style="1" customWidth="1"/>
  </cols>
  <sheetData>
    <row r="1" spans="1:2" x14ac:dyDescent="0.25">
      <c r="A1" t="s">
        <v>123</v>
      </c>
      <c r="B1" s="1" t="s">
        <v>0</v>
      </c>
    </row>
    <row r="2" spans="1:2" x14ac:dyDescent="0.25">
      <c r="A2" t="s">
        <v>1</v>
      </c>
      <c r="B2" s="1">
        <v>25000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65C1-1F2E-498D-BD21-D55E01D9459A}">
  <sheetPr>
    <tabColor rgb="FFFF0000"/>
  </sheetPr>
  <dimension ref="A1:E35"/>
  <sheetViews>
    <sheetView workbookViewId="0">
      <selection activeCell="A29" sqref="A29"/>
    </sheetView>
  </sheetViews>
  <sheetFormatPr baseColWidth="10" defaultColWidth="9.140625" defaultRowHeight="15" x14ac:dyDescent="0.25"/>
  <cols>
    <col min="1" max="1" width="17" bestFit="1" customWidth="1"/>
    <col min="2" max="2" width="19.7109375" bestFit="1" customWidth="1"/>
    <col min="3" max="3" width="45.85546875" bestFit="1" customWidth="1"/>
    <col min="4" max="4" width="45.85546875" style="1" bestFit="1" customWidth="1"/>
    <col min="5" max="5" width="13" bestFit="1" customWidth="1"/>
  </cols>
  <sheetData>
    <row r="1" spans="1:5" x14ac:dyDescent="0.25">
      <c r="A1" t="s">
        <v>111</v>
      </c>
      <c r="B1" t="s">
        <v>114</v>
      </c>
      <c r="C1" t="s">
        <v>115</v>
      </c>
      <c r="D1" t="s">
        <v>116</v>
      </c>
      <c r="E1" s="1" t="s">
        <v>117</v>
      </c>
    </row>
    <row r="2" spans="1:5" x14ac:dyDescent="0.25">
      <c r="A2" t="s">
        <v>104</v>
      </c>
      <c r="B2" t="s">
        <v>58</v>
      </c>
      <c r="C2" t="s">
        <v>194</v>
      </c>
      <c r="D2" t="s">
        <v>101</v>
      </c>
      <c r="E2" s="1">
        <v>1500</v>
      </c>
    </row>
    <row r="3" spans="1:5" x14ac:dyDescent="0.25">
      <c r="A3" t="s">
        <v>105</v>
      </c>
      <c r="B3" t="s">
        <v>58</v>
      </c>
      <c r="C3" t="s">
        <v>195</v>
      </c>
      <c r="D3" t="s">
        <v>100</v>
      </c>
      <c r="E3" s="1">
        <v>1500</v>
      </c>
    </row>
    <row r="4" spans="1:5" x14ac:dyDescent="0.25">
      <c r="A4" t="s">
        <v>191</v>
      </c>
      <c r="B4" t="s">
        <v>58</v>
      </c>
      <c r="C4" t="s">
        <v>198</v>
      </c>
      <c r="D4" t="s">
        <v>42</v>
      </c>
      <c r="E4" s="1">
        <v>2000</v>
      </c>
    </row>
    <row r="5" spans="1:5" x14ac:dyDescent="0.25">
      <c r="A5" t="s">
        <v>106</v>
      </c>
      <c r="B5" t="s">
        <v>60</v>
      </c>
      <c r="C5" t="s">
        <v>196</v>
      </c>
      <c r="D5" t="s">
        <v>102</v>
      </c>
      <c r="E5" s="1">
        <v>2900</v>
      </c>
    </row>
    <row r="6" spans="1:5" x14ac:dyDescent="0.25">
      <c r="A6" t="s">
        <v>192</v>
      </c>
      <c r="B6" t="s">
        <v>60</v>
      </c>
      <c r="C6" t="s">
        <v>199</v>
      </c>
      <c r="D6" t="s">
        <v>42</v>
      </c>
      <c r="E6" s="1">
        <v>1000</v>
      </c>
    </row>
    <row r="7" spans="1:5" x14ac:dyDescent="0.25">
      <c r="A7" t="s">
        <v>107</v>
      </c>
      <c r="B7" t="s">
        <v>59</v>
      </c>
      <c r="C7" t="s">
        <v>197</v>
      </c>
      <c r="D7" t="s">
        <v>103</v>
      </c>
      <c r="E7" s="1">
        <v>2900</v>
      </c>
    </row>
    <row r="8" spans="1:5" x14ac:dyDescent="0.25">
      <c r="A8" t="s">
        <v>193</v>
      </c>
      <c r="B8" t="s">
        <v>59</v>
      </c>
      <c r="C8" t="s">
        <v>200</v>
      </c>
      <c r="D8" t="s">
        <v>42</v>
      </c>
      <c r="E8" s="1">
        <v>1000</v>
      </c>
    </row>
    <row r="9" spans="1:5" x14ac:dyDescent="0.25">
      <c r="A9" t="s">
        <v>85</v>
      </c>
      <c r="B9" t="s">
        <v>220</v>
      </c>
      <c r="C9" t="s">
        <v>54</v>
      </c>
      <c r="D9" t="s">
        <v>54</v>
      </c>
      <c r="E9" s="1">
        <v>750</v>
      </c>
    </row>
    <row r="10" spans="1:5" x14ac:dyDescent="0.25">
      <c r="A10" t="s">
        <v>84</v>
      </c>
      <c r="B10" t="s">
        <v>220</v>
      </c>
      <c r="C10" t="s">
        <v>53</v>
      </c>
      <c r="D10" t="s">
        <v>53</v>
      </c>
      <c r="E10" s="1">
        <v>6200</v>
      </c>
    </row>
    <row r="11" spans="1:5" x14ac:dyDescent="0.25">
      <c r="A11" t="s">
        <v>81</v>
      </c>
      <c r="B11" t="s">
        <v>220</v>
      </c>
      <c r="C11" t="s">
        <v>50</v>
      </c>
      <c r="D11" t="s">
        <v>50</v>
      </c>
      <c r="E11" s="1">
        <v>1050</v>
      </c>
    </row>
    <row r="12" spans="1:5" x14ac:dyDescent="0.25">
      <c r="A12" t="s">
        <v>80</v>
      </c>
      <c r="B12" t="s">
        <v>220</v>
      </c>
      <c r="C12" t="s">
        <v>49</v>
      </c>
      <c r="D12" t="s">
        <v>49</v>
      </c>
      <c r="E12" s="1">
        <v>900</v>
      </c>
    </row>
    <row r="13" spans="1:5" x14ac:dyDescent="0.25">
      <c r="A13" t="s">
        <v>79</v>
      </c>
      <c r="B13" t="s">
        <v>220</v>
      </c>
      <c r="C13" t="s">
        <v>48</v>
      </c>
      <c r="D13" t="s">
        <v>48</v>
      </c>
      <c r="E13" s="1">
        <v>920</v>
      </c>
    </row>
    <row r="14" spans="1:5" x14ac:dyDescent="0.25">
      <c r="A14" t="s">
        <v>72</v>
      </c>
      <c r="B14" t="s">
        <v>220</v>
      </c>
      <c r="C14" t="s">
        <v>41</v>
      </c>
      <c r="D14" t="s">
        <v>41</v>
      </c>
      <c r="E14" s="1">
        <v>35000</v>
      </c>
    </row>
    <row r="15" spans="1:5" x14ac:dyDescent="0.25">
      <c r="A15" t="s">
        <v>73</v>
      </c>
      <c r="B15" t="s">
        <v>220</v>
      </c>
      <c r="C15" t="s">
        <v>124</v>
      </c>
      <c r="D15" t="s">
        <v>42</v>
      </c>
      <c r="E15" s="1">
        <v>1500</v>
      </c>
    </row>
    <row r="16" spans="1:5" x14ac:dyDescent="0.25">
      <c r="A16" t="s">
        <v>82</v>
      </c>
      <c r="B16" t="s">
        <v>220</v>
      </c>
      <c r="C16" t="s">
        <v>51</v>
      </c>
      <c r="D16" t="s">
        <v>51</v>
      </c>
      <c r="E16" s="1">
        <v>580</v>
      </c>
    </row>
    <row r="17" spans="1:5" x14ac:dyDescent="0.25">
      <c r="A17" t="s">
        <v>87</v>
      </c>
      <c r="B17" t="s">
        <v>220</v>
      </c>
      <c r="C17" t="s">
        <v>56</v>
      </c>
      <c r="D17" t="s">
        <v>56</v>
      </c>
      <c r="E17" s="1">
        <v>570</v>
      </c>
    </row>
    <row r="18" spans="1:5" x14ac:dyDescent="0.25">
      <c r="A18" t="s">
        <v>88</v>
      </c>
      <c r="B18" t="s">
        <v>220</v>
      </c>
      <c r="C18" t="s">
        <v>57</v>
      </c>
      <c r="D18" t="s">
        <v>57</v>
      </c>
      <c r="E18" s="1">
        <v>850</v>
      </c>
    </row>
    <row r="19" spans="1:5" x14ac:dyDescent="0.25">
      <c r="A19" t="s">
        <v>77</v>
      </c>
      <c r="B19" t="s">
        <v>220</v>
      </c>
      <c r="C19" t="s">
        <v>46</v>
      </c>
      <c r="D19" t="s">
        <v>46</v>
      </c>
      <c r="E19" s="1">
        <v>240</v>
      </c>
    </row>
    <row r="20" spans="1:5" x14ac:dyDescent="0.25">
      <c r="A20" t="s">
        <v>76</v>
      </c>
      <c r="B20" t="s">
        <v>220</v>
      </c>
      <c r="C20" t="s">
        <v>45</v>
      </c>
      <c r="D20" t="s">
        <v>45</v>
      </c>
      <c r="E20" s="1">
        <v>220</v>
      </c>
    </row>
    <row r="21" spans="1:5" x14ac:dyDescent="0.25">
      <c r="A21" t="s">
        <v>74</v>
      </c>
      <c r="B21" t="s">
        <v>220</v>
      </c>
      <c r="C21" t="s">
        <v>43</v>
      </c>
      <c r="D21" t="s">
        <v>43</v>
      </c>
      <c r="E21" s="1">
        <v>18000</v>
      </c>
    </row>
    <row r="22" spans="1:5" x14ac:dyDescent="0.25">
      <c r="A22" t="s">
        <v>78</v>
      </c>
      <c r="B22" t="s">
        <v>220</v>
      </c>
      <c r="C22" t="s">
        <v>47</v>
      </c>
      <c r="D22" t="s">
        <v>47</v>
      </c>
      <c r="E22" s="1"/>
    </row>
    <row r="23" spans="1:5" x14ac:dyDescent="0.25">
      <c r="A23" t="s">
        <v>75</v>
      </c>
      <c r="B23" t="s">
        <v>220</v>
      </c>
      <c r="C23" t="s">
        <v>44</v>
      </c>
      <c r="D23" t="s">
        <v>44</v>
      </c>
      <c r="E23" s="1">
        <v>650</v>
      </c>
    </row>
    <row r="24" spans="1:5" x14ac:dyDescent="0.25">
      <c r="A24" t="s">
        <v>83</v>
      </c>
      <c r="B24" t="s">
        <v>220</v>
      </c>
      <c r="C24" t="s">
        <v>52</v>
      </c>
      <c r="D24" t="s">
        <v>52</v>
      </c>
      <c r="E24" s="1">
        <v>3500</v>
      </c>
    </row>
    <row r="25" spans="1:5" x14ac:dyDescent="0.25">
      <c r="A25" t="s">
        <v>86</v>
      </c>
      <c r="B25" t="s">
        <v>220</v>
      </c>
      <c r="C25" t="s">
        <v>55</v>
      </c>
      <c r="D25" t="s">
        <v>55</v>
      </c>
      <c r="E25" s="1">
        <v>16800</v>
      </c>
    </row>
    <row r="26" spans="1:5" x14ac:dyDescent="0.25">
      <c r="A26" t="s">
        <v>96</v>
      </c>
      <c r="B26" t="s">
        <v>219</v>
      </c>
      <c r="C26" t="s">
        <v>97</v>
      </c>
      <c r="D26" t="s">
        <v>97</v>
      </c>
      <c r="E26" s="1">
        <v>4000</v>
      </c>
    </row>
    <row r="27" spans="1:5" x14ac:dyDescent="0.25">
      <c r="A27" t="s">
        <v>90</v>
      </c>
      <c r="B27" t="s">
        <v>64</v>
      </c>
      <c r="C27" s="1" t="s">
        <v>190</v>
      </c>
      <c r="D27" s="1" t="s">
        <v>62</v>
      </c>
      <c r="E27" s="1">
        <v>23100</v>
      </c>
    </row>
    <row r="28" spans="1:5" x14ac:dyDescent="0.25">
      <c r="A28" t="s">
        <v>89</v>
      </c>
      <c r="B28" t="s">
        <v>64</v>
      </c>
      <c r="C28" s="1" t="s">
        <v>189</v>
      </c>
      <c r="D28" s="1" t="s">
        <v>61</v>
      </c>
      <c r="E28" s="1">
        <v>27000</v>
      </c>
    </row>
    <row r="29" spans="1:5" x14ac:dyDescent="0.25">
      <c r="A29" t="s">
        <v>91</v>
      </c>
      <c r="B29" t="s">
        <v>64</v>
      </c>
      <c r="C29" s="1" t="s">
        <v>63</v>
      </c>
      <c r="D29" s="1" t="s">
        <v>63</v>
      </c>
      <c r="E29" s="1">
        <v>17650</v>
      </c>
    </row>
    <row r="30" spans="1:5" x14ac:dyDescent="0.25">
      <c r="A30" t="s">
        <v>93</v>
      </c>
      <c r="B30" t="s">
        <v>65</v>
      </c>
      <c r="C30" t="s">
        <v>67</v>
      </c>
      <c r="D30" t="s">
        <v>67</v>
      </c>
      <c r="E30" s="1">
        <v>90</v>
      </c>
    </row>
    <row r="31" spans="1:5" x14ac:dyDescent="0.25">
      <c r="A31" t="s">
        <v>92</v>
      </c>
      <c r="B31" t="s">
        <v>65</v>
      </c>
      <c r="C31" t="s">
        <v>66</v>
      </c>
      <c r="D31" t="s">
        <v>66</v>
      </c>
      <c r="E31" s="1">
        <v>450</v>
      </c>
    </row>
    <row r="32" spans="1:5" x14ac:dyDescent="0.25">
      <c r="A32" t="s">
        <v>94</v>
      </c>
      <c r="B32" t="s">
        <v>65</v>
      </c>
      <c r="C32" t="s">
        <v>68</v>
      </c>
      <c r="D32" t="s">
        <v>68</v>
      </c>
      <c r="E32" s="1">
        <v>320</v>
      </c>
    </row>
    <row r="33" spans="1:5" x14ac:dyDescent="0.25">
      <c r="A33" t="s">
        <v>108</v>
      </c>
      <c r="B33" t="s">
        <v>65</v>
      </c>
      <c r="C33" t="s">
        <v>70</v>
      </c>
      <c r="D33" t="s">
        <v>70</v>
      </c>
      <c r="E33" s="1">
        <v>1500</v>
      </c>
    </row>
    <row r="34" spans="1:5" x14ac:dyDescent="0.25">
      <c r="A34" t="s">
        <v>95</v>
      </c>
      <c r="B34" t="s">
        <v>65</v>
      </c>
      <c r="C34" t="s">
        <v>69</v>
      </c>
      <c r="D34" t="s">
        <v>69</v>
      </c>
      <c r="E34" s="1">
        <v>360</v>
      </c>
    </row>
    <row r="35" spans="1:5" x14ac:dyDescent="0.25">
      <c r="D35"/>
      <c r="E35" s="4">
        <f>SUBTOTAL(109,BdBudgetPrevisionnel[Provision])</f>
        <v>175000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1F77-413A-4844-949B-216B607639AF}">
  <sheetPr>
    <tabColor theme="7" tint="0.79998168889431442"/>
  </sheetPr>
  <dimension ref="A1:I47"/>
  <sheetViews>
    <sheetView workbookViewId="0">
      <selection activeCell="C4" sqref="C4"/>
    </sheetView>
  </sheetViews>
  <sheetFormatPr baseColWidth="10" defaultColWidth="9.140625" defaultRowHeight="15" x14ac:dyDescent="0.25"/>
  <cols>
    <col min="1" max="1" width="48.140625" customWidth="1"/>
    <col min="2" max="2" width="66.5703125" style="2" customWidth="1"/>
    <col min="3" max="3" width="15.5703125" style="2" customWidth="1"/>
    <col min="4" max="4" width="32.85546875" bestFit="1" customWidth="1"/>
    <col min="5" max="5" width="11.85546875" style="6" bestFit="1" customWidth="1"/>
    <col min="6" max="6" width="8.28515625" style="8" bestFit="1" customWidth="1"/>
    <col min="7" max="7" width="12.7109375" style="1" bestFit="1" customWidth="1"/>
    <col min="8" max="8" width="159.7109375" style="2" customWidth="1"/>
  </cols>
  <sheetData>
    <row r="1" spans="1:8" x14ac:dyDescent="0.25">
      <c r="A1" s="2" t="s">
        <v>131</v>
      </c>
      <c r="B1" s="2" t="s">
        <v>113</v>
      </c>
      <c r="C1" s="2" t="s">
        <v>111</v>
      </c>
      <c r="D1" t="s">
        <v>112</v>
      </c>
      <c r="E1" s="6" t="s">
        <v>10</v>
      </c>
      <c r="F1" s="8" t="s">
        <v>4</v>
      </c>
      <c r="G1" s="6" t="s">
        <v>8</v>
      </c>
      <c r="H1" s="2" t="s">
        <v>164</v>
      </c>
    </row>
    <row r="2" spans="1:8" ht="45" x14ac:dyDescent="0.25">
      <c r="A2" s="2" t="s">
        <v>29</v>
      </c>
      <c r="B2" s="2" t="s">
        <v>29</v>
      </c>
      <c r="D2" t="s">
        <v>30</v>
      </c>
      <c r="F2" s="8" t="s">
        <v>6</v>
      </c>
      <c r="G2" s="6">
        <f>IF(BdCompetition[[#This Row],[Taxes]]="TTC",BdCompetition[[#This Row],[Cout]],BdCompetition[[#This Row],[Cout]]*1.2)</f>
        <v>0</v>
      </c>
      <c r="H2" s="2" t="s">
        <v>35</v>
      </c>
    </row>
    <row r="3" spans="1:8" x14ac:dyDescent="0.25">
      <c r="A3" s="2" t="s">
        <v>210</v>
      </c>
      <c r="B3" s="2" t="s">
        <v>227</v>
      </c>
      <c r="C3" s="2" t="s">
        <v>90</v>
      </c>
      <c r="D3" t="s">
        <v>221</v>
      </c>
      <c r="E3" s="6">
        <v>0</v>
      </c>
      <c r="F3" s="8" t="s">
        <v>6</v>
      </c>
      <c r="G3" s="6">
        <f>IF(BdCompetition[[#This Row],[Taxes]]="TTC",BdCompetition[[#This Row],[Cout]],BdCompetition[[#This Row],[Cout]]*1.2)</f>
        <v>0</v>
      </c>
      <c r="H3" s="2" t="s">
        <v>213</v>
      </c>
    </row>
    <row r="4" spans="1:8" x14ac:dyDescent="0.25">
      <c r="A4" s="2" t="s">
        <v>209</v>
      </c>
      <c r="B4" s="2" t="s">
        <v>227</v>
      </c>
      <c r="C4" s="2" t="s">
        <v>89</v>
      </c>
      <c r="D4" t="s">
        <v>221</v>
      </c>
      <c r="E4" s="6">
        <v>10000</v>
      </c>
      <c r="F4" s="8" t="s">
        <v>6</v>
      </c>
      <c r="G4" s="6">
        <f>IF(BdCompetition[[#This Row],[Taxes]]="TTC",BdCompetition[[#This Row],[Cout]],BdCompetition[[#This Row],[Cout]]*1.2)</f>
        <v>10000</v>
      </c>
      <c r="H4" s="2" t="s">
        <v>216</v>
      </c>
    </row>
    <row r="5" spans="1:8" x14ac:dyDescent="0.25">
      <c r="A5" s="2" t="s">
        <v>201</v>
      </c>
      <c r="B5" s="2" t="s">
        <v>206</v>
      </c>
      <c r="C5" s="2" t="s">
        <v>72</v>
      </c>
      <c r="D5" t="s">
        <v>202</v>
      </c>
      <c r="E5" s="6">
        <v>16000</v>
      </c>
      <c r="F5" s="8" t="s">
        <v>6</v>
      </c>
      <c r="G5" s="6">
        <f>IF(BdCompetition[[#This Row],[Taxes]]="TTC",BdCompetition[[#This Row],[Cout]],BdCompetition[[#This Row],[Cout]]*1.2)</f>
        <v>16000</v>
      </c>
      <c r="H5" s="2" t="s">
        <v>203</v>
      </c>
    </row>
    <row r="6" spans="1:8" x14ac:dyDescent="0.25">
      <c r="A6" s="2" t="s">
        <v>210</v>
      </c>
      <c r="B6" s="2" t="s">
        <v>226</v>
      </c>
      <c r="C6" s="2" t="s">
        <v>90</v>
      </c>
      <c r="D6" t="s">
        <v>221</v>
      </c>
      <c r="E6" s="6">
        <v>1940</v>
      </c>
      <c r="F6" s="8" t="s">
        <v>6</v>
      </c>
      <c r="G6" s="6">
        <f>IF(BdCompetition[[#This Row],[Taxes]]="TTC",BdCompetition[[#This Row],[Cout]],BdCompetition[[#This Row],[Cout]]*1.2)</f>
        <v>1940</v>
      </c>
      <c r="H6" s="2" t="s">
        <v>212</v>
      </c>
    </row>
    <row r="7" spans="1:8" x14ac:dyDescent="0.25">
      <c r="A7" s="2" t="s">
        <v>209</v>
      </c>
      <c r="B7" s="2" t="s">
        <v>226</v>
      </c>
      <c r="C7" s="2" t="s">
        <v>89</v>
      </c>
      <c r="D7" t="s">
        <v>221</v>
      </c>
      <c r="E7" s="6">
        <v>18000</v>
      </c>
      <c r="F7" s="8" t="s">
        <v>6</v>
      </c>
      <c r="G7" s="6">
        <f>IF(BdCompetition[[#This Row],[Taxes]]="TTC",BdCompetition[[#This Row],[Cout]],BdCompetition[[#This Row],[Cout]]*1.2)</f>
        <v>18000</v>
      </c>
      <c r="H7" s="2" t="s">
        <v>215</v>
      </c>
    </row>
    <row r="8" spans="1:8" x14ac:dyDescent="0.25">
      <c r="A8" s="2" t="s">
        <v>201</v>
      </c>
      <c r="B8" s="2" t="s">
        <v>207</v>
      </c>
      <c r="C8" s="2" t="s">
        <v>72</v>
      </c>
      <c r="D8" t="s">
        <v>202</v>
      </c>
      <c r="E8" s="6">
        <v>24000</v>
      </c>
      <c r="F8" s="8" t="s">
        <v>6</v>
      </c>
      <c r="G8" s="6">
        <f>IF(BdCompetition[[#This Row],[Taxes]]="TTC",BdCompetition[[#This Row],[Cout]],BdCompetition[[#This Row],[Cout]]*1.2)</f>
        <v>24000</v>
      </c>
      <c r="H8" s="2" t="s">
        <v>204</v>
      </c>
    </row>
    <row r="9" spans="1:8" x14ac:dyDescent="0.25">
      <c r="A9" s="2" t="s">
        <v>210</v>
      </c>
      <c r="B9" s="2" t="s">
        <v>228</v>
      </c>
      <c r="C9" s="2" t="s">
        <v>90</v>
      </c>
      <c r="D9" t="s">
        <v>221</v>
      </c>
      <c r="E9" s="6">
        <v>5710</v>
      </c>
      <c r="F9" s="8" t="s">
        <v>6</v>
      </c>
      <c r="G9" s="6">
        <f>IF(BdCompetition[[#This Row],[Taxes]]="TTC",BdCompetition[[#This Row],[Cout]],BdCompetition[[#This Row],[Cout]]*1.2)</f>
        <v>5710</v>
      </c>
      <c r="H9" s="2" t="s">
        <v>213</v>
      </c>
    </row>
    <row r="10" spans="1:8" x14ac:dyDescent="0.25">
      <c r="A10" s="2" t="s">
        <v>209</v>
      </c>
      <c r="B10" s="2" t="s">
        <v>228</v>
      </c>
      <c r="C10" s="2" t="s">
        <v>89</v>
      </c>
      <c r="D10" t="s">
        <v>221</v>
      </c>
      <c r="E10" s="6">
        <v>20000</v>
      </c>
      <c r="F10" s="8" t="s">
        <v>6</v>
      </c>
      <c r="G10" s="6">
        <f>IF(BdCompetition[[#This Row],[Taxes]]="TTC",BdCompetition[[#This Row],[Cout]],BdCompetition[[#This Row],[Cout]]*1.2)</f>
        <v>20000</v>
      </c>
      <c r="H10" s="2" t="s">
        <v>216</v>
      </c>
    </row>
    <row r="11" spans="1:8" x14ac:dyDescent="0.25">
      <c r="A11" s="2" t="s">
        <v>201</v>
      </c>
      <c r="B11" s="2" t="s">
        <v>208</v>
      </c>
      <c r="C11" s="2" t="s">
        <v>72</v>
      </c>
      <c r="D11" t="s">
        <v>202</v>
      </c>
      <c r="E11" s="6">
        <v>37000</v>
      </c>
      <c r="F11" s="8" t="s">
        <v>6</v>
      </c>
      <c r="G11" s="6">
        <f>IF(BdCompetition[[#This Row],[Taxes]]="TTC",BdCompetition[[#This Row],[Cout]],BdCompetition[[#This Row],[Cout]]*1.2)</f>
        <v>37000</v>
      </c>
      <c r="H11" s="2" t="s">
        <v>205</v>
      </c>
    </row>
    <row r="12" spans="1:8" x14ac:dyDescent="0.25">
      <c r="A12" s="2" t="s">
        <v>210</v>
      </c>
      <c r="B12" s="2" t="s">
        <v>229</v>
      </c>
      <c r="C12" s="2" t="s">
        <v>90</v>
      </c>
      <c r="D12" t="s">
        <v>221</v>
      </c>
      <c r="E12" s="6">
        <v>10770</v>
      </c>
      <c r="F12" s="8" t="s">
        <v>6</v>
      </c>
      <c r="G12" s="6">
        <f>IF(BdCompetition[[#This Row],[Taxes]]="TTC",BdCompetition[[#This Row],[Cout]],BdCompetition[[#This Row],[Cout]]*1.2)</f>
        <v>10770</v>
      </c>
      <c r="H12" s="2" t="s">
        <v>214</v>
      </c>
    </row>
    <row r="13" spans="1:8" x14ac:dyDescent="0.25">
      <c r="A13" s="2" t="s">
        <v>209</v>
      </c>
      <c r="B13" s="2" t="s">
        <v>229</v>
      </c>
      <c r="C13" s="2" t="s">
        <v>89</v>
      </c>
      <c r="D13" t="s">
        <v>221</v>
      </c>
      <c r="E13" s="6">
        <v>25000</v>
      </c>
      <c r="F13" s="8" t="s">
        <v>6</v>
      </c>
      <c r="G13" s="6">
        <f>IF(BdCompetition[[#This Row],[Taxes]]="TTC",BdCompetition[[#This Row],[Cout]],BdCompetition[[#This Row],[Cout]]*1.2)</f>
        <v>25000</v>
      </c>
      <c r="H13" s="2" t="s">
        <v>211</v>
      </c>
    </row>
    <row r="14" spans="1:8" ht="30" x14ac:dyDescent="0.25">
      <c r="A14" s="2" t="s">
        <v>15</v>
      </c>
      <c r="B14" s="2" t="s">
        <v>140</v>
      </c>
      <c r="D14" t="s">
        <v>16</v>
      </c>
      <c r="E14" s="6">
        <v>3000</v>
      </c>
      <c r="F14" s="8" t="s">
        <v>6</v>
      </c>
      <c r="G14" s="6">
        <f>IF(BdCompetition[[#This Row],[Taxes]]="TTC",BdCompetition[[#This Row],[Cout]],BdCompetition[[#This Row],[Cout]]*1.2)</f>
        <v>3000</v>
      </c>
    </row>
    <row r="15" spans="1:8" ht="30" x14ac:dyDescent="0.25">
      <c r="A15" s="2" t="s">
        <v>15</v>
      </c>
      <c r="B15" s="2" t="s">
        <v>139</v>
      </c>
      <c r="D15" t="s">
        <v>17</v>
      </c>
      <c r="E15" s="6">
        <v>2460</v>
      </c>
      <c r="F15" s="8" t="s">
        <v>6</v>
      </c>
      <c r="G15" s="6">
        <f>IF(BdCompetition[[#This Row],[Taxes]]="TTC",BdCompetition[[#This Row],[Cout]],BdCompetition[[#This Row],[Cout]]*1.2)</f>
        <v>2460</v>
      </c>
    </row>
    <row r="16" spans="1:8" ht="30" x14ac:dyDescent="0.25">
      <c r="A16" s="2" t="s">
        <v>34</v>
      </c>
      <c r="B16" s="2" t="s">
        <v>34</v>
      </c>
      <c r="C16" s="2" t="s">
        <v>86</v>
      </c>
      <c r="D16" t="s">
        <v>33</v>
      </c>
      <c r="E16" s="6">
        <v>1051.2</v>
      </c>
      <c r="F16" s="8" t="s">
        <v>6</v>
      </c>
      <c r="G16" s="6">
        <f>IF(BdCompetition[[#This Row],[Taxes]]="TTC",BdCompetition[[#This Row],[Cout]],BdCompetition[[#This Row],[Cout]]*1.2)</f>
        <v>1051.2</v>
      </c>
      <c r="H16" s="2" t="s">
        <v>34</v>
      </c>
    </row>
    <row r="17" spans="1:8" x14ac:dyDescent="0.25">
      <c r="A17" s="2" t="s">
        <v>14</v>
      </c>
      <c r="B17" s="2" t="s">
        <v>143</v>
      </c>
      <c r="C17" t="s">
        <v>85</v>
      </c>
      <c r="D17" t="s">
        <v>109</v>
      </c>
      <c r="E17" s="6">
        <v>748.15</v>
      </c>
      <c r="F17" s="8" t="s">
        <v>6</v>
      </c>
      <c r="G17" s="6">
        <f>IF(BdCompetition[[#This Row],[Taxes]]="TTC",BdCompetition[[#This Row],[Cout]],BdCompetition[[#This Row],[Cout]]*1.2)</f>
        <v>748.15</v>
      </c>
      <c r="H17" s="2" t="s">
        <v>110</v>
      </c>
    </row>
    <row r="18" spans="1:8" x14ac:dyDescent="0.25">
      <c r="A18" s="2" t="s">
        <v>11</v>
      </c>
      <c r="B18" s="2" t="s">
        <v>142</v>
      </c>
      <c r="C18" t="s">
        <v>84</v>
      </c>
      <c r="D18" t="s">
        <v>12</v>
      </c>
      <c r="E18" s="6">
        <v>6096.65</v>
      </c>
      <c r="F18" s="8" t="s">
        <v>6</v>
      </c>
      <c r="G18" s="6">
        <f>IF(BdCompetition[[#This Row],[Taxes]]="TTC",BdCompetition[[#This Row],[Cout]],BdCompetition[[#This Row],[Cout]]*1.2)</f>
        <v>6096.65</v>
      </c>
      <c r="H18" s="2" t="s">
        <v>127</v>
      </c>
    </row>
    <row r="19" spans="1:8" x14ac:dyDescent="0.25">
      <c r="A19" s="2" t="s">
        <v>11</v>
      </c>
      <c r="B19" s="2" t="s">
        <v>141</v>
      </c>
      <c r="C19" t="s">
        <v>84</v>
      </c>
      <c r="D19" t="s">
        <v>13</v>
      </c>
      <c r="E19" s="6">
        <v>7502.9</v>
      </c>
      <c r="F19" s="8" t="s">
        <v>6</v>
      </c>
      <c r="G19" s="6">
        <f>IF(BdCompetition[[#This Row],[Taxes]]="TTC",BdCompetition[[#This Row],[Cout]],BdCompetition[[#This Row],[Cout]]*1.2)</f>
        <v>7502.9</v>
      </c>
      <c r="H19" s="2" t="s">
        <v>128</v>
      </c>
    </row>
    <row r="20" spans="1:8" ht="30" x14ac:dyDescent="0.25">
      <c r="A20" s="2" t="s">
        <v>26</v>
      </c>
      <c r="B20" s="2" t="s">
        <v>153</v>
      </c>
      <c r="C20" t="s">
        <v>91</v>
      </c>
      <c r="D20" t="s">
        <v>99</v>
      </c>
      <c r="E20" s="6">
        <f>16750</f>
        <v>16750</v>
      </c>
      <c r="F20" s="8" t="s">
        <v>6</v>
      </c>
      <c r="G20" s="6">
        <f>IF(BdCompetition[[#This Row],[Taxes]]="TTC",BdCompetition[[#This Row],[Cout]],BdCompetition[[#This Row],[Cout]]*1.2)</f>
        <v>16750</v>
      </c>
      <c r="H20" s="2" t="s">
        <v>162</v>
      </c>
    </row>
    <row r="21" spans="1:8" ht="30" x14ac:dyDescent="0.25">
      <c r="A21" s="2" t="s">
        <v>26</v>
      </c>
      <c r="B21" s="2" t="s">
        <v>153</v>
      </c>
      <c r="C21" t="s">
        <v>91</v>
      </c>
      <c r="D21" t="s">
        <v>99</v>
      </c>
      <c r="E21" s="6">
        <f>887</f>
        <v>887</v>
      </c>
      <c r="F21" s="8" t="s">
        <v>6</v>
      </c>
      <c r="G21" s="6">
        <f>IF(BdCompetition[[#This Row],[Taxes]]="TTC",BdCompetition[[#This Row],[Cout]],BdCompetition[[#This Row],[Cout]]*1.2)</f>
        <v>887</v>
      </c>
      <c r="H21" s="2" t="s">
        <v>163</v>
      </c>
    </row>
    <row r="22" spans="1:8" ht="30" x14ac:dyDescent="0.25">
      <c r="A22" s="2" t="s">
        <v>26</v>
      </c>
      <c r="B22" s="2" t="s">
        <v>155</v>
      </c>
      <c r="C22" t="s">
        <v>91</v>
      </c>
      <c r="D22" t="s">
        <v>28</v>
      </c>
      <c r="F22" s="8" t="s">
        <v>6</v>
      </c>
      <c r="G22" s="6">
        <f>IF(BdCompetition[[#This Row],[Taxes]]="TTC",BdCompetition[[#This Row],[Cout]],BdCompetition[[#This Row],[Cout]]*1.2)</f>
        <v>0</v>
      </c>
      <c r="H22" t="s">
        <v>159</v>
      </c>
    </row>
    <row r="23" spans="1:8" ht="30" x14ac:dyDescent="0.25">
      <c r="A23" s="2" t="s">
        <v>26</v>
      </c>
      <c r="B23" s="2" t="s">
        <v>154</v>
      </c>
      <c r="C23" t="s">
        <v>91</v>
      </c>
      <c r="D23" t="s">
        <v>27</v>
      </c>
      <c r="F23" s="8" t="s">
        <v>6</v>
      </c>
      <c r="G23" s="6">
        <f>IF(BdCompetition[[#This Row],[Taxes]]="TTC",BdCompetition[[#This Row],[Cout]],BdCompetition[[#This Row],[Cout]]*1.2)</f>
        <v>0</v>
      </c>
      <c r="H23" t="s">
        <v>159</v>
      </c>
    </row>
    <row r="24" spans="1:8" x14ac:dyDescent="0.25">
      <c r="A24" s="2" t="s">
        <v>18</v>
      </c>
      <c r="B24" s="2" t="s">
        <v>146</v>
      </c>
      <c r="C24" t="s">
        <v>74</v>
      </c>
      <c r="D24" t="s">
        <v>132</v>
      </c>
      <c r="E24" s="6">
        <f>1140*12</f>
        <v>13680</v>
      </c>
      <c r="F24" s="8" t="s">
        <v>6</v>
      </c>
      <c r="G24" s="6">
        <f>IF(BdCompetition[[#This Row],[Taxes]]="TTC",BdCompetition[[#This Row],[Cout]],BdCompetition[[#This Row],[Cout]]*1.2)</f>
        <v>13680</v>
      </c>
      <c r="H24" s="2" t="s">
        <v>129</v>
      </c>
    </row>
    <row r="25" spans="1:8" x14ac:dyDescent="0.25">
      <c r="A25" s="2" t="s">
        <v>18</v>
      </c>
      <c r="B25" s="2" t="s">
        <v>144</v>
      </c>
      <c r="C25" t="s">
        <v>74</v>
      </c>
      <c r="D25" t="s">
        <v>135</v>
      </c>
      <c r="E25" s="6">
        <f>2836.8*12</f>
        <v>34041.600000000006</v>
      </c>
      <c r="F25" s="8" t="s">
        <v>6</v>
      </c>
      <c r="G25" s="6">
        <f>IF(BdCompetition[[#This Row],[Taxes]]="TTC",BdCompetition[[#This Row],[Cout]],BdCompetition[[#This Row],[Cout]]*1.2)</f>
        <v>34041.600000000006</v>
      </c>
      <c r="H25" s="2" t="s">
        <v>130</v>
      </c>
    </row>
    <row r="26" spans="1:8" x14ac:dyDescent="0.25">
      <c r="A26" s="2" t="s">
        <v>18</v>
      </c>
      <c r="B26" s="2" t="s">
        <v>145</v>
      </c>
      <c r="C26" t="s">
        <v>74</v>
      </c>
      <c r="D26" t="s">
        <v>132</v>
      </c>
      <c r="E26" s="6">
        <f>1518*12</f>
        <v>18216</v>
      </c>
      <c r="F26" s="8" t="s">
        <v>6</v>
      </c>
      <c r="G26" s="6">
        <f>IF(BdCompetition[[#This Row],[Taxes]]="TTC",BdCompetition[[#This Row],[Cout]],BdCompetition[[#This Row],[Cout]]*1.2)</f>
        <v>18216</v>
      </c>
      <c r="H26" s="2" t="s">
        <v>130</v>
      </c>
    </row>
    <row r="27" spans="1:8" ht="30" x14ac:dyDescent="0.25">
      <c r="A27" s="2" t="s">
        <v>24</v>
      </c>
      <c r="B27" s="2" t="s">
        <v>150</v>
      </c>
      <c r="C27" t="s">
        <v>92</v>
      </c>
      <c r="D27" t="s">
        <v>136</v>
      </c>
      <c r="E27" s="6">
        <v>516</v>
      </c>
      <c r="F27" s="8" t="s">
        <v>6</v>
      </c>
      <c r="G27" s="6">
        <f>IF(BdCompetition[[#This Row],[Taxes]]="TTC",BdCompetition[[#This Row],[Cout]],BdCompetition[[#This Row],[Cout]]*1.2)</f>
        <v>516</v>
      </c>
      <c r="H27" s="2" t="s">
        <v>156</v>
      </c>
    </row>
    <row r="28" spans="1:8" ht="30" x14ac:dyDescent="0.25">
      <c r="A28" s="2" t="s">
        <v>24</v>
      </c>
      <c r="B28" s="2" t="s">
        <v>151</v>
      </c>
      <c r="C28" t="s">
        <v>92</v>
      </c>
      <c r="D28" t="s">
        <v>136</v>
      </c>
      <c r="E28" s="6">
        <v>456</v>
      </c>
      <c r="F28" s="8" t="s">
        <v>6</v>
      </c>
      <c r="G28" s="6">
        <f>IF(BdCompetition[[#This Row],[Taxes]]="TTC",BdCompetition[[#This Row],[Cout]],BdCompetition[[#This Row],[Cout]]*1.2)</f>
        <v>456</v>
      </c>
      <c r="H28" s="2" t="s">
        <v>157</v>
      </c>
    </row>
    <row r="29" spans="1:8" ht="105" x14ac:dyDescent="0.25">
      <c r="A29" s="2" t="s">
        <v>24</v>
      </c>
      <c r="B29" s="2" t="s">
        <v>152</v>
      </c>
      <c r="C29" t="s">
        <v>92</v>
      </c>
      <c r="D29" t="s">
        <v>25</v>
      </c>
      <c r="E29" s="6">
        <v>660</v>
      </c>
      <c r="F29" s="8" t="s">
        <v>6</v>
      </c>
      <c r="G29" s="6">
        <f>IF(BdCompetition[[#This Row],[Taxes]]="TTC",BdCompetition[[#This Row],[Cout]],BdCompetition[[#This Row],[Cout]]*1.2)</f>
        <v>660</v>
      </c>
      <c r="H29" s="2" t="s">
        <v>158</v>
      </c>
    </row>
    <row r="30" spans="1:8" x14ac:dyDescent="0.25">
      <c r="A30" s="2" t="s">
        <v>19</v>
      </c>
      <c r="B30" s="2" t="s">
        <v>165</v>
      </c>
      <c r="C30" t="s">
        <v>104</v>
      </c>
      <c r="D30" t="s">
        <v>98</v>
      </c>
      <c r="E30" s="6">
        <v>2400</v>
      </c>
      <c r="F30" s="8" t="s">
        <v>5</v>
      </c>
      <c r="G30" s="6">
        <f>IF(BdCompetition[[#This Row],[Taxes]]="TTC",BdCompetition[[#This Row],[Cout]],BdCompetition[[#This Row],[Cout]]*1.2)</f>
        <v>2880</v>
      </c>
      <c r="H30" s="2" t="s">
        <v>160</v>
      </c>
    </row>
    <row r="31" spans="1:8" x14ac:dyDescent="0.25">
      <c r="A31" s="2" t="s">
        <v>19</v>
      </c>
      <c r="B31" s="2" t="s">
        <v>168</v>
      </c>
      <c r="C31" t="s">
        <v>105</v>
      </c>
      <c r="D31" t="s">
        <v>98</v>
      </c>
      <c r="E31" s="6">
        <v>2400</v>
      </c>
      <c r="F31" s="8" t="s">
        <v>5</v>
      </c>
      <c r="G31" s="6">
        <f>IF(BdCompetition[[#This Row],[Taxes]]="TTC",BdCompetition[[#This Row],[Cout]],BdCompetition[[#This Row],[Cout]]*1.2)</f>
        <v>2880</v>
      </c>
      <c r="H31" s="2" t="s">
        <v>160</v>
      </c>
    </row>
    <row r="32" spans="1:8" x14ac:dyDescent="0.25">
      <c r="A32" s="2" t="s">
        <v>19</v>
      </c>
      <c r="B32" s="2" t="s">
        <v>170</v>
      </c>
      <c r="C32" t="s">
        <v>106</v>
      </c>
      <c r="D32" t="s">
        <v>98</v>
      </c>
      <c r="E32" s="6">
        <v>2450</v>
      </c>
      <c r="F32" s="8" t="s">
        <v>5</v>
      </c>
      <c r="G32" s="6">
        <f>IF(BdCompetition[[#This Row],[Taxes]]="TTC",BdCompetition[[#This Row],[Cout]],BdCompetition[[#This Row],[Cout]]*1.2)</f>
        <v>2940</v>
      </c>
      <c r="H32" s="2" t="s">
        <v>160</v>
      </c>
    </row>
    <row r="33" spans="1:9" x14ac:dyDescent="0.25">
      <c r="A33" s="2" t="s">
        <v>19</v>
      </c>
      <c r="B33" s="2" t="s">
        <v>172</v>
      </c>
      <c r="C33" t="s">
        <v>107</v>
      </c>
      <c r="D33" t="s">
        <v>98</v>
      </c>
      <c r="E33" s="6">
        <v>2200</v>
      </c>
      <c r="F33" s="8" t="s">
        <v>5</v>
      </c>
      <c r="G33" s="6">
        <f>IF(BdCompetition[[#This Row],[Taxes]]="TTC",BdCompetition[[#This Row],[Cout]],BdCompetition[[#This Row],[Cout]]*1.2)</f>
        <v>2640</v>
      </c>
      <c r="H33" s="2" t="s">
        <v>161</v>
      </c>
    </row>
    <row r="34" spans="1:9" x14ac:dyDescent="0.25">
      <c r="A34" s="2" t="s">
        <v>31</v>
      </c>
      <c r="B34" s="2" t="s">
        <v>31</v>
      </c>
      <c r="D34" t="s">
        <v>32</v>
      </c>
      <c r="E34" s="6">
        <v>160</v>
      </c>
      <c r="F34" s="8" t="s">
        <v>6</v>
      </c>
      <c r="G34" s="6">
        <f>IF(BdCompetition[[#This Row],[Taxes]]="TTC",BdCompetition[[#This Row],[Cout]],BdCompetition[[#This Row],[Cout]]*1.2)</f>
        <v>160</v>
      </c>
    </row>
    <row r="35" spans="1:9" x14ac:dyDescent="0.25">
      <c r="A35" s="2" t="s">
        <v>18</v>
      </c>
      <c r="B35" s="2" t="s">
        <v>138</v>
      </c>
      <c r="C35" t="s">
        <v>74</v>
      </c>
      <c r="D35" t="s">
        <v>135</v>
      </c>
      <c r="E35" s="6">
        <f>2400*12</f>
        <v>28800</v>
      </c>
      <c r="F35" s="8" t="s">
        <v>6</v>
      </c>
      <c r="G35" s="6">
        <f>IF(BdCompetition[[#This Row],[Taxes]]="TTC",BdCompetition[[#This Row],[Cout]],BdCompetition[[#This Row],[Cout]]*1.2)</f>
        <v>28800</v>
      </c>
      <c r="H35" s="2" t="s">
        <v>134</v>
      </c>
    </row>
    <row r="36" spans="1:9" x14ac:dyDescent="0.25">
      <c r="A36" s="2" t="s">
        <v>18</v>
      </c>
      <c r="B36" s="2" t="s">
        <v>137</v>
      </c>
      <c r="C36" t="s">
        <v>74</v>
      </c>
      <c r="D36" t="s">
        <v>135</v>
      </c>
      <c r="E36" s="6">
        <f>1320*12</f>
        <v>15840</v>
      </c>
      <c r="F36" s="8" t="s">
        <v>6</v>
      </c>
      <c r="G36" s="6">
        <f>IF(BdCompetition[[#This Row],[Taxes]]="TTC",BdCompetition[[#This Row],[Cout]],BdCompetition[[#This Row],[Cout]]*1.2)</f>
        <v>15840</v>
      </c>
      <c r="H36" s="2" t="s">
        <v>133</v>
      </c>
    </row>
    <row r="37" spans="1:9" x14ac:dyDescent="0.25">
      <c r="A37" s="2" t="s">
        <v>20</v>
      </c>
      <c r="B37" s="2" t="s">
        <v>149</v>
      </c>
      <c r="D37" t="s">
        <v>23</v>
      </c>
      <c r="E37" s="6">
        <v>3198.13</v>
      </c>
      <c r="F37" s="8" t="s">
        <v>6</v>
      </c>
      <c r="G37" s="6">
        <f>IF(BdCompetition[[#This Row],[Taxes]]="TTC",BdCompetition[[#This Row],[Cout]],BdCompetition[[#This Row],[Cout]]*1.2)</f>
        <v>3198.13</v>
      </c>
    </row>
    <row r="38" spans="1:9" x14ac:dyDescent="0.25">
      <c r="A38" s="2" t="s">
        <v>20</v>
      </c>
      <c r="B38" s="2" t="s">
        <v>148</v>
      </c>
      <c r="D38" t="s">
        <v>22</v>
      </c>
      <c r="E38" s="6">
        <v>3322.8</v>
      </c>
      <c r="F38" s="8" t="s">
        <v>6</v>
      </c>
      <c r="G38" s="6">
        <f>IF(BdCompetition[[#This Row],[Taxes]]="TTC",BdCompetition[[#This Row],[Cout]],BdCompetition[[#This Row],[Cout]]*1.2)</f>
        <v>3322.8</v>
      </c>
    </row>
    <row r="39" spans="1:9" x14ac:dyDescent="0.25">
      <c r="A39" s="2" t="s">
        <v>20</v>
      </c>
      <c r="B39" s="2" t="s">
        <v>147</v>
      </c>
      <c r="D39" t="s">
        <v>21</v>
      </c>
      <c r="E39" s="6">
        <v>3138.27</v>
      </c>
      <c r="F39" s="8" t="s">
        <v>6</v>
      </c>
      <c r="G39" s="6">
        <f>IF(BdCompetition[[#This Row],[Taxes]]="TTC",BdCompetition[[#This Row],[Cout]],BdCompetition[[#This Row],[Cout]]*1.2)</f>
        <v>3138.27</v>
      </c>
    </row>
    <row r="40" spans="1:9" x14ac:dyDescent="0.25">
      <c r="A40" s="2" t="s">
        <v>19</v>
      </c>
      <c r="B40" s="2" t="s">
        <v>166</v>
      </c>
      <c r="C40" t="s">
        <v>104</v>
      </c>
      <c r="D40" t="s">
        <v>98</v>
      </c>
      <c r="E40" s="6">
        <v>240</v>
      </c>
      <c r="F40" s="8" t="s">
        <v>5</v>
      </c>
      <c r="G40" s="6">
        <f>IF(BdCompetition[[#This Row],[Taxes]]="TTC",BdCompetition[[#This Row],[Cout]],BdCompetition[[#This Row],[Cout]]*1.2)</f>
        <v>288</v>
      </c>
      <c r="H40" s="2" t="s">
        <v>160</v>
      </c>
    </row>
    <row r="41" spans="1:9" x14ac:dyDescent="0.25">
      <c r="A41" s="2" t="s">
        <v>19</v>
      </c>
      <c r="B41" s="2" t="s">
        <v>167</v>
      </c>
      <c r="C41" t="s">
        <v>105</v>
      </c>
      <c r="D41" t="s">
        <v>98</v>
      </c>
      <c r="E41" s="6">
        <v>240</v>
      </c>
      <c r="F41" s="8" t="s">
        <v>5</v>
      </c>
      <c r="G41" s="6">
        <f>IF(BdCompetition[[#This Row],[Taxes]]="TTC",BdCompetition[[#This Row],[Cout]],BdCompetition[[#This Row],[Cout]]*1.2)</f>
        <v>288</v>
      </c>
      <c r="H41" s="2" t="s">
        <v>160</v>
      </c>
    </row>
    <row r="42" spans="1:9" x14ac:dyDescent="0.25">
      <c r="A42" s="2" t="s">
        <v>19</v>
      </c>
      <c r="B42" s="2" t="s">
        <v>169</v>
      </c>
      <c r="C42" t="s">
        <v>106</v>
      </c>
      <c r="D42" t="s">
        <v>98</v>
      </c>
      <c r="E42" s="6">
        <v>240</v>
      </c>
      <c r="F42" s="8" t="s">
        <v>5</v>
      </c>
      <c r="G42" s="6">
        <f>IF(BdCompetition[[#This Row],[Taxes]]="TTC",BdCompetition[[#This Row],[Cout]],BdCompetition[[#This Row],[Cout]]*1.2)</f>
        <v>288</v>
      </c>
      <c r="H42" s="2" t="s">
        <v>160</v>
      </c>
    </row>
    <row r="43" spans="1:9" x14ac:dyDescent="0.25">
      <c r="A43" s="2" t="s">
        <v>19</v>
      </c>
      <c r="B43" s="2" t="s">
        <v>171</v>
      </c>
      <c r="C43" t="s">
        <v>107</v>
      </c>
      <c r="D43" t="s">
        <v>98</v>
      </c>
      <c r="E43" s="6">
        <v>240</v>
      </c>
      <c r="F43" s="8" t="s">
        <v>5</v>
      </c>
      <c r="G43" s="6">
        <f>IF(BdCompetition[[#This Row],[Taxes]]="TTC",BdCompetition[[#This Row],[Cout]],BdCompetition[[#This Row],[Cout]]*1.2)</f>
        <v>288</v>
      </c>
      <c r="H43" s="2" t="s">
        <v>160</v>
      </c>
    </row>
    <row r="44" spans="1:9" x14ac:dyDescent="0.25">
      <c r="A44" s="2" t="s">
        <v>125</v>
      </c>
      <c r="B44" s="2" t="s">
        <v>222</v>
      </c>
      <c r="C44" s="2" t="s">
        <v>86</v>
      </c>
      <c r="D44" t="s">
        <v>221</v>
      </c>
      <c r="E44" s="7">
        <v>10000</v>
      </c>
      <c r="F44" s="9" t="s">
        <v>6</v>
      </c>
      <c r="G44" s="7">
        <f>IF(BdCompetition[[#This Row],[Taxes]]="TTC",BdCompetition[[#This Row],[Cout]],BdCompetition[[#This Row],[Cout]]*1.2)</f>
        <v>10000</v>
      </c>
      <c r="H44" s="5"/>
      <c r="I44" s="2"/>
    </row>
    <row r="45" spans="1:9" x14ac:dyDescent="0.25">
      <c r="A45" s="2" t="s">
        <v>125</v>
      </c>
      <c r="B45" s="2" t="s">
        <v>224</v>
      </c>
      <c r="C45" s="2" t="s">
        <v>86</v>
      </c>
      <c r="D45" t="s">
        <v>221</v>
      </c>
      <c r="E45" s="7">
        <v>12500</v>
      </c>
      <c r="F45" s="9" t="s">
        <v>6</v>
      </c>
      <c r="G45" s="7">
        <f>IF(BdCompetition[[#This Row],[Taxes]]="TTC",BdCompetition[[#This Row],[Cout]],BdCompetition[[#This Row],[Cout]]*1.2)</f>
        <v>12500</v>
      </c>
      <c r="H45" s="5"/>
      <c r="I45" s="2"/>
    </row>
    <row r="46" spans="1:9" x14ac:dyDescent="0.25">
      <c r="A46" s="2" t="s">
        <v>125</v>
      </c>
      <c r="B46" s="2" t="s">
        <v>223</v>
      </c>
      <c r="C46" s="2" t="s">
        <v>86</v>
      </c>
      <c r="D46" t="s">
        <v>221</v>
      </c>
      <c r="E46" s="7">
        <v>15000</v>
      </c>
      <c r="F46" s="9" t="s">
        <v>6</v>
      </c>
      <c r="G46" s="7">
        <f>IF(BdCompetition[[#This Row],[Taxes]]="TTC",BdCompetition[[#This Row],[Cout]],BdCompetition[[#This Row],[Cout]]*1.2)</f>
        <v>15000</v>
      </c>
      <c r="H46" s="5"/>
      <c r="I46" s="2"/>
    </row>
    <row r="47" spans="1:9" x14ac:dyDescent="0.25">
      <c r="A47" s="2" t="s">
        <v>125</v>
      </c>
      <c r="B47" s="2" t="s">
        <v>125</v>
      </c>
      <c r="C47" s="2" t="s">
        <v>86</v>
      </c>
      <c r="D47" t="s">
        <v>33</v>
      </c>
      <c r="E47" s="7">
        <v>16800</v>
      </c>
      <c r="F47" s="9" t="s">
        <v>6</v>
      </c>
      <c r="G47" s="7">
        <f>IF(BdCompetition[[#This Row],[Taxes]]="TTC",BdCompetition[[#This Row],[Cout]],BdCompetition[[#This Row],[Cout]]*1.2)</f>
        <v>16800</v>
      </c>
      <c r="H47" s="5" t="s">
        <v>126</v>
      </c>
      <c r="I47"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CC6CC0A-B84A-46A4-9443-3186D68D5F75}">
          <x14:formula1>
            <xm:f>Budget!$A$2:$A$34</xm:f>
          </x14:formula1>
          <xm:sqref>C2:C47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5D61-F58E-4476-8C07-B1CAEC1E0C10}">
  <sheetPr>
    <tabColor theme="2" tint="-9.9978637043366805E-2"/>
  </sheetPr>
  <dimension ref="A1:T7"/>
  <sheetViews>
    <sheetView tabSelected="1" topLeftCell="C1" workbookViewId="0">
      <selection activeCell="K5" sqref="D5:K5"/>
    </sheetView>
  </sheetViews>
  <sheetFormatPr baseColWidth="10" defaultColWidth="9.140625" defaultRowHeight="15" x14ac:dyDescent="0.25"/>
  <cols>
    <col min="1" max="1" width="13.5703125" bestFit="1" customWidth="1"/>
    <col min="2" max="2" width="22.85546875" bestFit="1" customWidth="1"/>
    <col min="3" max="3" width="48.5703125" style="3" bestFit="1" customWidth="1"/>
    <col min="4" max="4" width="22.28515625" bestFit="1" customWidth="1"/>
    <col min="5" max="6" width="25.28515625" bestFit="1" customWidth="1"/>
    <col min="7" max="8" width="23.5703125" bestFit="1" customWidth="1"/>
    <col min="9" max="9" width="21.85546875" bestFit="1" customWidth="1"/>
    <col min="10" max="12" width="22.7109375" bestFit="1" customWidth="1"/>
    <col min="13" max="14" width="19.7109375" bestFit="1" customWidth="1"/>
    <col min="15" max="15" width="17.85546875" bestFit="1" customWidth="1"/>
    <col min="16" max="16" width="37.42578125" bestFit="1" customWidth="1"/>
    <col min="17" max="17" width="16.5703125" bestFit="1" customWidth="1"/>
    <col min="18" max="18" width="16.140625" bestFit="1" customWidth="1"/>
    <col min="19" max="19" width="12.28515625" bestFit="1" customWidth="1"/>
  </cols>
  <sheetData>
    <row r="1" spans="1:20" x14ac:dyDescent="0.25">
      <c r="A1" t="s">
        <v>175</v>
      </c>
      <c r="B1" t="s">
        <v>120</v>
      </c>
      <c r="C1" t="s">
        <v>121</v>
      </c>
      <c r="D1" s="10" t="s">
        <v>176</v>
      </c>
      <c r="E1" s="10" t="s">
        <v>177</v>
      </c>
      <c r="F1" s="10" t="s">
        <v>178</v>
      </c>
      <c r="G1" s="10" t="s">
        <v>179</v>
      </c>
      <c r="H1" s="10" t="s">
        <v>217</v>
      </c>
      <c r="I1" s="10" t="s">
        <v>180</v>
      </c>
      <c r="J1" s="10" t="s">
        <v>182</v>
      </c>
      <c r="K1" s="10" t="s">
        <v>183</v>
      </c>
      <c r="L1" s="10" t="s">
        <v>184</v>
      </c>
      <c r="M1" s="10" t="s">
        <v>185</v>
      </c>
      <c r="N1" s="10" t="s">
        <v>186</v>
      </c>
      <c r="O1" s="10" t="s">
        <v>187</v>
      </c>
      <c r="P1" s="10" t="s">
        <v>188</v>
      </c>
      <c r="Q1" s="10" t="s">
        <v>218</v>
      </c>
      <c r="R1" s="10" t="s">
        <v>122</v>
      </c>
      <c r="S1" t="s">
        <v>181</v>
      </c>
      <c r="T1" t="s">
        <v>173</v>
      </c>
    </row>
    <row r="2" spans="1:20" x14ac:dyDescent="0.25">
      <c r="A2" t="s">
        <v>60</v>
      </c>
      <c r="B2" t="s">
        <v>174</v>
      </c>
      <c r="C2" t="s">
        <v>225</v>
      </c>
      <c r="D2" s="10">
        <v>217</v>
      </c>
      <c r="E2" s="10"/>
      <c r="F2" s="10"/>
      <c r="G2" s="10">
        <v>646</v>
      </c>
      <c r="H2" s="10"/>
      <c r="I2" s="10">
        <v>198</v>
      </c>
      <c r="J2" s="10"/>
      <c r="K2" s="10"/>
      <c r="L2" s="10">
        <v>596</v>
      </c>
      <c r="M2" s="10"/>
      <c r="N2" s="10"/>
      <c r="O2" s="10">
        <v>679</v>
      </c>
      <c r="P2" s="10">
        <v>217</v>
      </c>
      <c r="Q2" s="10"/>
      <c r="R2" s="10">
        <v>225</v>
      </c>
      <c r="T2">
        <v>7</v>
      </c>
    </row>
    <row r="3" spans="1:20" x14ac:dyDescent="0.25">
      <c r="A3" t="s">
        <v>59</v>
      </c>
      <c r="B3" t="s">
        <v>174</v>
      </c>
      <c r="C3" t="s">
        <v>230</v>
      </c>
      <c r="D3" s="10">
        <v>82</v>
      </c>
      <c r="E3" s="10"/>
      <c r="F3" s="10"/>
      <c r="G3" s="10"/>
      <c r="H3" s="10">
        <v>755</v>
      </c>
      <c r="I3" s="10">
        <v>93</v>
      </c>
      <c r="J3" s="10"/>
      <c r="K3" s="10"/>
      <c r="L3" s="10">
        <v>469</v>
      </c>
      <c r="M3" s="10"/>
      <c r="N3" s="10"/>
      <c r="O3" s="10"/>
      <c r="P3" s="10">
        <v>82</v>
      </c>
      <c r="Q3" s="10"/>
      <c r="R3" s="10">
        <v>308</v>
      </c>
      <c r="T3">
        <v>2</v>
      </c>
    </row>
    <row r="4" spans="1:20" x14ac:dyDescent="0.25">
      <c r="A4" t="s">
        <v>58</v>
      </c>
      <c r="B4" t="s">
        <v>174</v>
      </c>
      <c r="C4" t="s">
        <v>231</v>
      </c>
      <c r="D4" s="10">
        <v>102</v>
      </c>
      <c r="E4" s="10"/>
      <c r="F4" s="10">
        <v>566</v>
      </c>
      <c r="G4" s="10"/>
      <c r="H4" s="10"/>
      <c r="I4" s="10">
        <v>98</v>
      </c>
      <c r="J4" s="10">
        <v>232</v>
      </c>
      <c r="K4" s="10"/>
      <c r="L4" s="10"/>
      <c r="M4" s="10"/>
      <c r="N4" s="10">
        <v>541</v>
      </c>
      <c r="O4" s="10"/>
      <c r="P4" s="10">
        <v>112</v>
      </c>
      <c r="Q4" s="10"/>
      <c r="R4" s="10">
        <v>134</v>
      </c>
      <c r="S4">
        <v>1251</v>
      </c>
      <c r="T4">
        <v>5</v>
      </c>
    </row>
    <row r="5" spans="1:20" x14ac:dyDescent="0.25">
      <c r="A5" t="s">
        <v>71</v>
      </c>
      <c r="B5" t="s">
        <v>71</v>
      </c>
      <c r="C5" t="s">
        <v>231</v>
      </c>
      <c r="D5" s="10">
        <v>7</v>
      </c>
      <c r="E5" s="10"/>
      <c r="F5" s="10">
        <v>45</v>
      </c>
      <c r="G5" s="10"/>
      <c r="H5" s="10"/>
      <c r="I5" s="10"/>
      <c r="J5" s="10"/>
      <c r="K5" s="10"/>
      <c r="L5" s="10"/>
      <c r="M5" s="10"/>
      <c r="N5" s="10"/>
      <c r="O5" s="10"/>
      <c r="P5" s="10">
        <v>7</v>
      </c>
      <c r="Q5" s="10">
        <v>99</v>
      </c>
      <c r="R5" s="10">
        <v>412</v>
      </c>
      <c r="S5">
        <v>12</v>
      </c>
      <c r="T5">
        <v>-1</v>
      </c>
    </row>
    <row r="6" spans="1:20" x14ac:dyDescent="0.25">
      <c r="A6" t="s">
        <v>58</v>
      </c>
      <c r="B6" t="s">
        <v>174</v>
      </c>
      <c r="C6" t="s">
        <v>7</v>
      </c>
      <c r="D6" s="10">
        <v>86</v>
      </c>
      <c r="E6" s="10">
        <v>391</v>
      </c>
      <c r="F6" s="10"/>
      <c r="G6" s="10"/>
      <c r="H6" s="10"/>
      <c r="I6" s="10">
        <v>101</v>
      </c>
      <c r="J6" s="10">
        <v>197</v>
      </c>
      <c r="K6" s="10"/>
      <c r="L6" s="10"/>
      <c r="M6" s="10">
        <v>425</v>
      </c>
      <c r="N6" s="10"/>
      <c r="O6" s="10"/>
      <c r="P6" s="10">
        <v>95</v>
      </c>
      <c r="Q6" s="10"/>
      <c r="R6" s="10">
        <v>113</v>
      </c>
      <c r="S6">
        <v>1134</v>
      </c>
      <c r="T6">
        <v>3</v>
      </c>
    </row>
    <row r="7" spans="1:20" x14ac:dyDescent="0.25">
      <c r="A7" t="s">
        <v>71</v>
      </c>
      <c r="B7" t="s">
        <v>71</v>
      </c>
      <c r="C7" t="s">
        <v>7</v>
      </c>
      <c r="D7" s="10">
        <v>7</v>
      </c>
      <c r="E7" s="10">
        <v>45</v>
      </c>
      <c r="F7" s="10"/>
      <c r="G7" s="10"/>
      <c r="H7" s="10"/>
      <c r="I7" s="10"/>
      <c r="J7" s="10"/>
      <c r="K7" s="10"/>
      <c r="L7" s="10"/>
      <c r="M7" s="10"/>
      <c r="N7" s="10"/>
      <c r="O7" s="10"/>
      <c r="P7" s="10">
        <v>7</v>
      </c>
      <c r="Q7" s="10">
        <v>99</v>
      </c>
      <c r="R7" s="10">
        <v>462</v>
      </c>
      <c r="S7">
        <v>64</v>
      </c>
      <c r="T7">
        <v>-2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C933-4065-4028-BD62-44296BEFC537}">
  <sheetPr>
    <tabColor theme="2" tint="-9.9978637043366805E-2"/>
  </sheetPr>
  <dimension ref="A1:D9"/>
  <sheetViews>
    <sheetView workbookViewId="0">
      <selection activeCell="X22" sqref="X22"/>
    </sheetView>
  </sheetViews>
  <sheetFormatPr baseColWidth="10" defaultColWidth="9.140625" defaultRowHeight="15" x14ac:dyDescent="0.25"/>
  <cols>
    <col min="1" max="1" width="90.28515625" bestFit="1" customWidth="1"/>
    <col min="2" max="2" width="10.85546875" style="1" bestFit="1" customWidth="1"/>
    <col min="4" max="4" width="12.140625" style="1" bestFit="1" customWidth="1"/>
  </cols>
  <sheetData>
    <row r="1" spans="1:4" x14ac:dyDescent="0.25">
      <c r="A1" t="s">
        <v>118</v>
      </c>
      <c r="B1" s="1" t="s">
        <v>119</v>
      </c>
      <c r="C1" t="s">
        <v>4</v>
      </c>
      <c r="D1" s="1" t="s">
        <v>8</v>
      </c>
    </row>
    <row r="2" spans="1:4" x14ac:dyDescent="0.25">
      <c r="A2" t="s">
        <v>2</v>
      </c>
      <c r="B2" s="1">
        <v>-500</v>
      </c>
      <c r="C2" t="s">
        <v>5</v>
      </c>
      <c r="D2" s="1">
        <f>IF(BdRegles[[#This Row],[Taxes]]="HT",BdRegles[[#This Row],[Limite]]*1.2,BdRegles[[#This Row],[Limite]])</f>
        <v>-600</v>
      </c>
    </row>
    <row r="3" spans="1:4" x14ac:dyDescent="0.25">
      <c r="A3" t="s">
        <v>3</v>
      </c>
      <c r="B3" s="1">
        <v>-1500</v>
      </c>
      <c r="C3" t="s">
        <v>5</v>
      </c>
      <c r="D3" s="1">
        <f>IF(BdRegles[[#This Row],[Taxes]]="HT",BdRegles[[#This Row],[Limite]]*1.2,BdRegles[[#This Row],[Limite]])</f>
        <v>-1800</v>
      </c>
    </row>
    <row r="4" spans="1:4" x14ac:dyDescent="0.25">
      <c r="A4" t="s">
        <v>9</v>
      </c>
      <c r="B4" s="1">
        <v>-5000</v>
      </c>
      <c r="C4" t="s">
        <v>6</v>
      </c>
      <c r="D4" s="1">
        <f>IF(BdRegles[[#This Row],[Taxes]]="HT",BdRegles[[#This Row],[Limite]]*1.2,BdRegles[[#This Row],[Limite]])</f>
        <v>-5000</v>
      </c>
    </row>
    <row r="5" spans="1:4" x14ac:dyDescent="0.25">
      <c r="A5" t="s">
        <v>36</v>
      </c>
      <c r="D5" s="1">
        <f>IF(BdRegles[[#This Row],[Taxes]]="HT",BdRegles[[#This Row],[Limite]]*1.2,BdRegles[[#This Row],[Limite]])</f>
        <v>0</v>
      </c>
    </row>
    <row r="6" spans="1:4" x14ac:dyDescent="0.25">
      <c r="A6" t="s">
        <v>37</v>
      </c>
      <c r="D6" s="1">
        <f>IF(BdRegles[[#This Row],[Taxes]]="HT",BdRegles[[#This Row],[Limite]]*1.2,BdRegles[[#This Row],[Limite]])</f>
        <v>0</v>
      </c>
    </row>
    <row r="7" spans="1:4" x14ac:dyDescent="0.25">
      <c r="A7" t="s">
        <v>38</v>
      </c>
      <c r="D7" s="1">
        <f>IF(BdRegles[[#This Row],[Taxes]]="HT",BdRegles[[#This Row],[Limite]]*1.2,BdRegles[[#This Row],[Limite]])</f>
        <v>0</v>
      </c>
    </row>
    <row r="8" spans="1:4" x14ac:dyDescent="0.25">
      <c r="A8" t="s">
        <v>39</v>
      </c>
      <c r="D8" s="1">
        <f>IF(BdRegles[[#This Row],[Taxes]]="HT",BdRegles[[#This Row],[Limite]]*1.2,BdRegles[[#This Row],[Limite]])</f>
        <v>0</v>
      </c>
    </row>
    <row r="9" spans="1:4" x14ac:dyDescent="0.25">
      <c r="A9" t="s">
        <v>40</v>
      </c>
      <c r="D9" s="1">
        <f>IF(BdRegles[[#This Row],[Taxes]]="HT",BdRegles[[#This Row],[Limite]]*1.2,BdRegles[[#This Row],[Limite]])</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Revenus</vt:lpstr>
      <vt:lpstr>Budget</vt:lpstr>
      <vt:lpstr>Propositions</vt:lpstr>
      <vt:lpstr>Copropriétaires</vt:lpstr>
      <vt:lpstr>Règles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Diné</dc:creator>
  <cp:lastModifiedBy>Victor Diné</cp:lastModifiedBy>
  <dcterms:created xsi:type="dcterms:W3CDTF">2015-06-05T18:17:20Z</dcterms:created>
  <dcterms:modified xsi:type="dcterms:W3CDTF">2026-06-17T08:19:26Z</dcterms:modified>
</cp:coreProperties>
</file>