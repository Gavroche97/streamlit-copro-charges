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data/"/>
    </mc:Choice>
  </mc:AlternateContent>
  <xr:revisionPtr revIDLastSave="277" documentId="13_ncr:1_{BC6B5EAF-A22B-4219-B771-90D3DDB91BC7}" xr6:coauthVersionLast="47" xr6:coauthVersionMax="47" xr10:uidLastSave="{D7EF880B-72ED-40D8-AE0D-7B40117B1E3F}"/>
  <bookViews>
    <workbookView xWindow="-105" yWindow="-16320" windowWidth="29040" windowHeight="15720" activeTab="2" xr2:uid="{00000000-000D-0000-FFFF-FFFF00000000}"/>
  </bookViews>
  <sheets>
    <sheet name="Budget" sheetId="7" r:id="rId1"/>
    <sheet name="Propositions" sheetId="6" r:id="rId2"/>
    <sheet name="Copropriétaires" sheetId="5"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6" i="6" l="1"/>
  <c r="G45" i="6"/>
  <c r="G44" i="6"/>
  <c r="G12" i="6"/>
  <c r="G11" i="6"/>
  <c r="G10" i="6"/>
  <c r="G9" i="6"/>
  <c r="G8" i="6"/>
  <c r="G7" i="6"/>
  <c r="G6" i="6"/>
  <c r="G5" i="6"/>
  <c r="G4" i="6"/>
  <c r="G3" i="6"/>
  <c r="G13" i="6"/>
  <c r="E20" i="6"/>
  <c r="E21" i="6"/>
  <c r="G33" i="6"/>
  <c r="G32" i="6"/>
  <c r="G42" i="6"/>
  <c r="G31" i="6"/>
  <c r="G41" i="6"/>
  <c r="G30" i="6"/>
  <c r="G40" i="6"/>
  <c r="G43" i="6"/>
  <c r="E36" i="6"/>
  <c r="E35" i="6"/>
  <c r="E24" i="6"/>
  <c r="E26" i="6"/>
  <c r="E25" i="6"/>
  <c r="G25" i="6" s="1"/>
  <c r="G47" i="6"/>
  <c r="G2" i="6"/>
  <c r="E35" i="7"/>
  <c r="G16" i="6"/>
  <c r="G34" i="6"/>
  <c r="G22" i="6"/>
  <c r="G23" i="6"/>
  <c r="G29" i="6"/>
  <c r="G28" i="6"/>
  <c r="G27" i="6"/>
  <c r="G37" i="6"/>
  <c r="G38" i="6"/>
  <c r="G39" i="6"/>
  <c r="G15" i="6"/>
  <c r="G18" i="6"/>
  <c r="G19" i="6"/>
  <c r="G17" i="6"/>
  <c r="G14" i="6"/>
  <c r="G26" i="6" l="1"/>
  <c r="G20" i="6"/>
  <c r="G21" i="6"/>
  <c r="G35" i="6"/>
  <c r="G36" i="6"/>
  <c r="G24" i="6"/>
</calcChain>
</file>

<file path=xl/sharedStrings.xml><?xml version="1.0" encoding="utf-8"?>
<sst xmlns="http://schemas.openxmlformats.org/spreadsheetml/2006/main" count="443" uniqueCount="219">
  <si>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</si>
  <si>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</si>
  <si>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</si>
  <si>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</si>
  <si>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</si>
  <si>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</si>
  <si>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</si>
  <si>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</si>
  <si>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</si>
  <si>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</si>
  <si>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</si>
  <si>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</si>
  <si>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</si>
  <si>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</si>
  <si>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</si>
  <si>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</si>
  <si>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</si>
  <si>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</si>
  <si>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</si>
  <si>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</si>
  <si>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</si>
  <si>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</si>
  <si>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</si>
  <si>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</si>
  <si>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</si>
  <si>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</si>
  <si>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</si>
  <si>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</si>
  <si>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</si>
  <si>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</si>
  <si>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</si>
  <si>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</si>
  <si>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</si>
  <si>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</si>
  <si>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</si>
  <si>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</si>
  <si>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</si>
  <si>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</si>
  <si>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</si>
  <si>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</si>
  <si>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</si>
  <si>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</si>
  <si>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</si>
  <si>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</si>
  <si>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</si>
  <si>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</si>
  <si>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</si>
  <si>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Batiment 1</t>
  </si>
  <si>
    <t>Batiment 3</t>
  </si>
  <si>
    <t>Batiment 2</t>
  </si>
  <si>
    <t>Fourniture granulés bois</t>
  </si>
  <si>
    <t>Gaz</t>
  </si>
  <si>
    <t>Contrat P2 maintenance chaufferie</t>
  </si>
  <si>
    <t>Chauffage</t>
  </si>
  <si>
    <t>Parkings souterrains</t>
  </si>
  <si>
    <t>Contrat de maintenance des portails, portes</t>
  </si>
  <si>
    <t>Contrat bacs à sable</t>
  </si>
  <si>
    <t>Contrat pompe de relevage</t>
  </si>
  <si>
    <t>Contrat ventilation parking</t>
  </si>
  <si>
    <t>Entretien et petites réparations portes et serrures</t>
  </si>
  <si>
    <t>Parking</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</si>
  <si>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</si>
  <si>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</si>
  <si>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</si>
  <si>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</si>
  <si>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</si>
  <si>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</si>
  <si>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</si>
  <si>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</si>
  <si>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</si>
  <si>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</si>
  <si>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</si>
  <si>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</si>
  <si>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</si>
  <si>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</si>
  <si>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</si>
  <si>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</si>
  <si>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</si>
  <si>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</si>
  <si>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</si>
  <si>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</si>
  <si>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</si>
  <si>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</si>
  <si>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</si>
  <si>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</si>
  <si>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</si>
  <si>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</si>
  <si>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</si>
  <si>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</si>
  <si>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</si>
  <si>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</si>
  <si>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</si>
  <si>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</si>
  <si>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</si>
  <si>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</si>
  <si>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</si>
  <si>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</si>
  <si>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</si>
  <si>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</si>
  <si>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</si>
  <si>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ID1</t>
  </si>
  <si>
    <t>Prestataire</t>
  </si>
  <si>
    <t>Label de la prestation</t>
  </si>
  <si>
    <t>Segment</t>
  </si>
  <si>
    <t>Classe de provision</t>
  </si>
  <si>
    <t>Label de la provision</t>
  </si>
  <si>
    <t>Provision</t>
  </si>
  <si>
    <t>Label de lot</t>
  </si>
  <si>
    <t>Nom du coproprietaire</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</si>
  <si>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</si>
  <si>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</si>
  <si>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</si>
  <si>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</si>
  <si>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</si>
  <si>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</si>
  <si>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</si>
  <si>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</si>
  <si>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</si>
  <si>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</si>
  <si>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</si>
  <si>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</si>
  <si>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</si>
  <si>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</si>
  <si>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</si>
  <si>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</si>
  <si>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</si>
  <si>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</si>
  <si>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</si>
  <si>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</si>
  <si>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</si>
  <si>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</si>
  <si>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</si>
  <si>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</si>
  <si>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</si>
  <si>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</si>
  <si>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</si>
  <si>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</si>
  <si>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</si>
  <si>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</si>
  <si>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</si>
  <si>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</si>
  <si>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</si>
  <si>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</si>
  <si>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</si>
  <si>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</si>
  <si>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</si>
  <si>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</si>
  <si>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</si>
  <si>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Eontrat  P2, engagement sur 3 ans</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</si>
  <si>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</si>
  <si>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</si>
  <si>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</si>
  <si>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</si>
  <si>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</si>
  <si>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</si>
  <si>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</si>
  <si>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</si>
  <si>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</si>
  <si>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</si>
  <si>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Etage</t>
  </si>
  <si>
    <t>Appartement</t>
  </si>
  <si>
    <t>Batiment</t>
  </si>
  <si>
    <t>Tantièmes copropriété</t>
  </si>
  <si>
    <t>Tantièmes ascenseur 1-1</t>
  </si>
  <si>
    <t>Tantièmes ascenseur 1-2</t>
  </si>
  <si>
    <t>Tantièmes ascenseur 2</t>
  </si>
  <si>
    <t>Tantièmes chauffage</t>
  </si>
  <si>
    <t>Lot Nexity</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</si>
  <si>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</si>
  <si>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</si>
  <si>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</si>
  <si>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</si>
  <si>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</si>
  <si>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</si>
  <si>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</si>
  <si>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</si>
  <si>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</si>
  <si>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</si>
  <si>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</si>
  <si>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</si>
  <si>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</si>
  <si>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</si>
  <si>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</si>
  <si>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</si>
  <si>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</si>
  <si>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</si>
  <si>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</si>
  <si>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</si>
  <si>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</si>
  <si>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</si>
  <si>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</si>
  <si>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</si>
  <si>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</si>
  <si>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</si>
  <si>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</si>
  <si>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</si>
  <si>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</si>
  <si>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</si>
  <si>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</si>
  <si>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</si>
  <si>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</si>
  <si>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</si>
  <si>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</si>
  <si>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</si>
  <si>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Stationnement</t>
  </si>
  <si>
    <t>Charges communes aux habitants</t>
  </si>
  <si>
    <t>Charges communes générales</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</si>
  <si>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</si>
  <si>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</si>
  <si>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</si>
  <si>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</si>
  <si>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</si>
  <si>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</si>
  <si>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</si>
  <si>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</si>
  <si>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</si>
  <si>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</si>
  <si>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Lot 113</t>
  </si>
  <si>
    <t>Lot 134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</si>
</sst>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1">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0" applyNumberForma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cellXfs>
  <cellStyles count="3">
    <cellStyle name="Currency" xfId="1" builtinId="4"/>
    <cellStyle name="Normal" xfId="0" builtinId="0"/>
    <cellStyle name="Percent" xfId="2" builtinId="5"/>
  </cellStyles>
  <dxfs count="24">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6F05D8-067A-4813-B8D0-1D3E83D9A8C6}" name="BdBudgetPrevisionnel" displayName="BdBudgetPrevisionnel" ref="A1:E35" totalsRowCount="1">
  <autoFilter ref="A1:E34" xr:uid="{986F05D8-067A-4813-B8D0-1D3E83D9A8C6}"/>
  <sortState xmlns:xlrd2="http://schemas.microsoft.com/office/spreadsheetml/2017/richdata2" ref="A2:E34">
    <sortCondition ref="B1:B34"/>
  </sortState>
  <tableColumns count="5">
    <tableColumn id="4" xr3:uid="{E4015667-0514-4C79-B49E-EDD561CE56D6}" name="ID1"/>
    <tableColumn id="5" xr3:uid="{F17C785C-9055-484D-A7EC-C3372D32A622}" name="Segment"/>
    <tableColumn id="7" xr3:uid="{3DB4DC80-D06E-4E70-BFE9-9BB75CB5FA62}" name="Classe de provision"/>
    <tableColumn id="2" xr3:uid="{3B6645ED-EDB5-4F76-9846-790ECF4F680D}" name="Label de la provision"/>
    <tableColumn id="3" xr3:uid="{EBBDC931-D4B2-4BFA-A08F-7BA2EEB44DAA}" name="Provision" totalsRowFunction="sum" dataDxfId="8" totalsRow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A6001B-8A1B-4BBD-AB17-BC7D9D052A42}" name="BdCompetition" displayName="BdCompetition" ref="A1:H47" totalsRowShown="0">
  <autoFilter ref="A1:H47" xr:uid="{1CA6001B-8A1B-4BBD-AB17-BC7D9D052A42}"/>
  <sortState xmlns:xlrd2="http://schemas.microsoft.com/office/spreadsheetml/2017/richdata2" ref="A2:H47">
    <sortCondition ref="B1:B47"/>
  </sortState>
  <tableColumns count="8">
    <tableColumn id="1" xr3:uid="{304F6CD1-2A85-4CA9-B82A-BF03CDAE07A4}" name="Type de prestation" dataDxfId="6"/>
    <tableColumn id="2" xr3:uid="{068CBFB8-4A62-4CD4-BDAC-46EED59496BC}" name="Label de la prestation" dataDxfId="5"/>
    <tableColumn id="8" xr3:uid="{2298CECF-E998-45F7-AABA-B59C715EC51B}" name="ID1" dataDxfId="4"/>
    <tableColumn id="3" xr3:uid="{5B85ADF0-B113-45E5-864A-388F8040031F}" name="Prestataire"/>
    <tableColumn id="4" xr3:uid="{037769D5-5B3A-4710-A4BD-50FC46B19887}" name="Cout" dataDxfId="3"/>
    <tableColumn id="5" xr3:uid="{DDF49AF2-6301-4A34-B62A-4933E379FE46}" name="Taxes" dataDxfId="2"/>
    <tableColumn id="6" xr3:uid="{D3462D22-93DD-4646-AC7F-1B3471D6826C}" name="Total TTC" dataDxfId="1">
      <calculatedColumnFormula>IF(BdCompetition[[#This Row],[Taxes]]="TTC",BdCompetition[[#This Row],[Cout]],BdCompetition[[#This Row],[Cout]]*1.2)</calculatedColumnFormula>
    </tableColumn>
    <tableColumn id="7" xr3:uid="{D6BDE268-55D6-4FDC-9C89-14F909955D72}" name="Description"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EBCA3A-959D-43DA-A310-FB4D8334574B}" name="BdCoproprietaires" displayName="BdCoproprietaires" ref="A1:T7" totalsRowShown="0">
  <autoFilter ref="A1:T7" xr:uid="{3CEBCA3A-959D-43DA-A310-FB4D8334574B}"/>
  <tableColumns count="20">
    <tableColumn id="12" xr3:uid="{6157D014-929F-42D7-A4BC-12D951282608}" name="Batiment"/>
    <tableColumn id="4" xr3:uid="{81B9BF77-9818-477B-B3E8-1E987064DFDA}" name="Label de lot"/>
    <tableColumn id="1" xr3:uid="{B1F46291-565B-462F-9110-123FFF38DDEE}" name="Nom du coproprietaire"/>
    <tableColumn id="2" xr3:uid="{DE7A1664-88F0-47A5-B594-27860729EB7C}" name="Tantièmes copropriété" dataDxfId="23">
      <calculatedColumnFormula>7/10000</calculatedColumnFormula>
    </tableColumn>
    <tableColumn id="8" xr3:uid="{6082472F-2D58-4FBE-B207-F4E7921BE9CD}" name="Tantièmes ascenseur 1-1" dataDxfId="22"/>
    <tableColumn id="9" xr3:uid="{A99085F3-5429-48BD-99D6-C368BEBDE1C5}" name="Tantièmes ascenseur 1-2" dataDxfId="21"/>
    <tableColumn id="10" xr3:uid="{29D8D538-CA9C-4A95-992C-1A61F5728B38}" name="Tantièmes ascenseur 2" dataDxfId="20"/>
    <tableColumn id="11" xr3:uid="{A8F24873-3570-4882-AE65-BFA97F5FA58C}" name="Tantièmes ascenseur 3" dataDxfId="19"/>
    <tableColumn id="14" xr3:uid="{6A0D9C01-B4D3-4227-A105-5BE4105F433C}" name="Tantièmes chauffage" dataDxfId="18"/>
    <tableColumn id="15" xr3:uid="{DB773FD9-45E5-4A17-9757-9A0D7F7768AA}" name="Tantièmes Batiment 1" dataDxfId="17"/>
    <tableColumn id="16" xr3:uid="{2CD201B1-8753-466E-8776-252972944B3C}" name="Tantièmes Batiment 2" dataDxfId="16"/>
    <tableColumn id="17" xr3:uid="{0EB76A3D-2FED-4CE0-9718-92F4FC209896}" name="Tantièmes Batiment 3" dataDxfId="15"/>
    <tableColumn id="18" xr3:uid="{E820E31C-950D-4D14-8ABF-A71F86753025}" name="Tantièmes Hall 1-1" dataDxfId="14"/>
    <tableColumn id="19" xr3:uid="{48F0D008-2EAA-4A4F-A6BA-4F8DF16617F8}" name="Tantièmes Hall 1-2" dataDxfId="13"/>
    <tableColumn id="20" xr3:uid="{DD9B9883-76BB-4950-9FFB-0863C2F256EA}" name="Tantièmes Hall 2" dataDxfId="12"/>
    <tableColumn id="21" xr3:uid="{BF704940-4EA2-48AF-8BBA-B1F4C695A5E2}" name="Tantièmes Logement/Stationnements" dataDxfId="11"/>
    <tableColumn id="6" xr3:uid="{23C5575F-C8F7-420A-A8AC-4CD0404C3FB6}" name="Stationnement" dataDxfId="10"/>
    <tableColumn id="13" xr3:uid="{4AF86A31-E98F-489D-ABE5-CCD678E7BE8D}" name="Numéro de lot" dataDxfId="9"/>
    <tableColumn id="3" xr3:uid="{71861424-FDE4-4C97-8393-5794B9911F90}" name="Lot Nexity"/>
    <tableColumn id="5" xr3:uid="{99825B0E-48FC-48C3-B40C-A8763FC406C7}" name="Et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565C1-1F2E-498D-BD21-D55E01D9459A}">
  <sheetPr>
    <tabColor rgb="FFFF0000"/>
  </sheetPr>
  <dimension ref="A1:E35"/>
  <sheetViews>
    <sheetView workbookViewId="0">
      <selection activeCell="C48" sqref="C48"/>
    </sheetView>
  </sheetViews>
  <sheetFormatPr defaultColWidth="9.1796875" defaultRowHeight="14.5" x14ac:dyDescent="0.35"/>
  <cols>
    <col min="1" max="1" width="17" bestFit="1" customWidth="1"/>
    <col min="2" max="2" width="19.7265625" bestFit="1" customWidth="1"/>
    <col min="3" max="3" width="45.81640625" bestFit="1" customWidth="1"/>
    <col min="4" max="4" width="45.81640625" style="1" bestFit="1" customWidth="1"/>
    <col min="5" max="5" width="13" bestFit="1" customWidth="1"/>
  </cols>
  <sheetData>
    <row r="1" spans="1:5" x14ac:dyDescent="0.35">
      <c r="A1" t="s">
        <v>100</v>
      </c>
      <c r="B1" t="s">
        <v>103</v>
      </c>
      <c r="C1" t="s">
        <v>104</v>
      </c>
      <c r="D1" t="s">
        <v>105</v>
      </c>
      <c r="E1" s="1" t="s">
        <v>106</v>
      </c>
    </row>
    <row r="2" spans="1:5" x14ac:dyDescent="0.35">
      <c r="A2" t="s">
        <v>93</v>
      </c>
      <c r="B2" t="s">
        <v>47</v>
      </c>
      <c r="C2" t="s">
        <v>180</v>
      </c>
      <c r="D2" t="s">
        <v>90</v>
      </c>
      <c r="E2" s="1">
        <v>1500</v>
      </c>
    </row>
    <row r="3" spans="1:5" x14ac:dyDescent="0.35">
      <c r="A3" t="s">
        <v>94</v>
      </c>
      <c r="B3" t="s">
        <v>47</v>
      </c>
      <c r="C3" t="s">
        <v>181</v>
      </c>
      <c r="D3" t="s">
        <v>89</v>
      </c>
      <c r="E3" s="1">
        <v>1500</v>
      </c>
    </row>
    <row r="4" spans="1:5" x14ac:dyDescent="0.35">
      <c r="A4" t="s">
        <v>177</v>
      </c>
      <c r="B4" t="s">
        <v>47</v>
      </c>
      <c r="C4" t="s">
        <v>184</v>
      </c>
      <c r="D4" t="s">
        <v>184</v>
      </c>
      <c r="E4" s="1">
        <v>2000</v>
      </c>
    </row>
    <row r="5" spans="1:5" x14ac:dyDescent="0.35">
      <c r="A5" t="s">
        <v>95</v>
      </c>
      <c r="B5" t="s">
        <v>49</v>
      </c>
      <c r="C5" t="s">
        <v>182</v>
      </c>
      <c r="D5" t="s">
        <v>91</v>
      </c>
      <c r="E5" s="1">
        <v>2900</v>
      </c>
    </row>
    <row r="6" spans="1:5" x14ac:dyDescent="0.35">
      <c r="A6" t="s">
        <v>178</v>
      </c>
      <c r="B6" t="s">
        <v>49</v>
      </c>
      <c r="C6" t="s">
        <v>185</v>
      </c>
      <c r="D6" t="s">
        <v>185</v>
      </c>
      <c r="E6" s="1">
        <v>1000</v>
      </c>
    </row>
    <row r="7" spans="1:5" x14ac:dyDescent="0.35">
      <c r="A7" t="s">
        <v>96</v>
      </c>
      <c r="B7" t="s">
        <v>48</v>
      </c>
      <c r="C7" t="s">
        <v>183</v>
      </c>
      <c r="D7" t="s">
        <v>92</v>
      </c>
      <c r="E7" s="1">
        <v>2900</v>
      </c>
    </row>
    <row r="8" spans="1:5" x14ac:dyDescent="0.35">
      <c r="A8" t="s">
        <v>179</v>
      </c>
      <c r="B8" t="s">
        <v>48</v>
      </c>
      <c r="C8" t="s">
        <v>186</v>
      </c>
      <c r="D8" t="s">
        <v>186</v>
      </c>
      <c r="E8" s="1">
        <v>1000</v>
      </c>
    </row>
    <row r="9" spans="1:5" x14ac:dyDescent="0.35">
      <c r="A9" t="s">
        <v>74</v>
      </c>
      <c r="B9" t="s">
        <v>206</v>
      </c>
      <c r="C9" t="s">
        <v>43</v>
      </c>
      <c r="D9" t="s">
        <v>43</v>
      </c>
      <c r="E9" s="1">
        <v>750</v>
      </c>
    </row>
    <row r="10" spans="1:5" x14ac:dyDescent="0.35">
      <c r="A10" t="s">
        <v>73</v>
      </c>
      <c r="B10" t="s">
        <v>206</v>
      </c>
      <c r="C10" t="s">
        <v>42</v>
      </c>
      <c r="D10" t="s">
        <v>42</v>
      </c>
      <c r="E10" s="1">
        <v>6200</v>
      </c>
    </row>
    <row r="11" spans="1:5" x14ac:dyDescent="0.35">
      <c r="A11" t="s">
        <v>70</v>
      </c>
      <c r="B11" t="s">
        <v>206</v>
      </c>
      <c r="C11" t="s">
        <v>39</v>
      </c>
      <c r="D11" t="s">
        <v>39</v>
      </c>
      <c r="E11" s="1">
        <v>1050</v>
      </c>
    </row>
    <row r="12" spans="1:5" x14ac:dyDescent="0.35">
      <c r="A12" t="s">
        <v>69</v>
      </c>
      <c r="B12" t="s">
        <v>206</v>
      </c>
      <c r="C12" t="s">
        <v>38</v>
      </c>
      <c r="D12" t="s">
        <v>38</v>
      </c>
      <c r="E12" s="1">
        <v>900</v>
      </c>
    </row>
    <row r="13" spans="1:5" x14ac:dyDescent="0.35">
      <c r="A13" t="s">
        <v>68</v>
      </c>
      <c r="B13" t="s">
        <v>206</v>
      </c>
      <c r="C13" t="s">
        <v>37</v>
      </c>
      <c r="D13" t="s">
        <v>37</v>
      </c>
      <c r="E13" s="1">
        <v>920</v>
      </c>
    </row>
    <row r="14" spans="1:5" x14ac:dyDescent="0.35">
      <c r="A14" t="s">
        <v>61</v>
      </c>
      <c r="B14" t="s">
        <v>206</v>
      </c>
      <c r="C14" t="s">
        <v>30</v>
      </c>
      <c r="D14" t="s">
        <v>30</v>
      </c>
      <c r="E14" s="1">
        <v>35000</v>
      </c>
    </row>
    <row r="15" spans="1:5" x14ac:dyDescent="0.35">
      <c r="A15" t="s">
        <v>62</v>
      </c>
      <c r="B15" t="s">
        <v>206</v>
      </c>
      <c r="C15" t="s">
        <v>110</v>
      </c>
      <c r="D15" t="s">
        <v>31</v>
      </c>
      <c r="E15" s="1">
        <v>1500</v>
      </c>
    </row>
    <row r="16" spans="1:5" x14ac:dyDescent="0.35">
      <c r="A16" t="s">
        <v>71</v>
      </c>
      <c r="B16" t="s">
        <v>206</v>
      </c>
      <c r="C16" t="s">
        <v>40</v>
      </c>
      <c r="D16" t="s">
        <v>40</v>
      </c>
      <c r="E16" s="1">
        <v>580</v>
      </c>
    </row>
    <row r="17" spans="1:5" x14ac:dyDescent="0.35">
      <c r="A17" t="s">
        <v>76</v>
      </c>
      <c r="B17" t="s">
        <v>206</v>
      </c>
      <c r="C17" t="s">
        <v>45</v>
      </c>
      <c r="D17" t="s">
        <v>45</v>
      </c>
      <c r="E17" s="1">
        <v>570</v>
      </c>
    </row>
    <row r="18" spans="1:5" x14ac:dyDescent="0.35">
      <c r="A18" t="s">
        <v>77</v>
      </c>
      <c r="B18" t="s">
        <v>206</v>
      </c>
      <c r="C18" t="s">
        <v>46</v>
      </c>
      <c r="D18" t="s">
        <v>46</v>
      </c>
      <c r="E18" s="1">
        <v>850</v>
      </c>
    </row>
    <row r="19" spans="1:5" x14ac:dyDescent="0.35">
      <c r="A19" t="s">
        <v>66</v>
      </c>
      <c r="B19" t="s">
        <v>206</v>
      </c>
      <c r="C19" t="s">
        <v>35</v>
      </c>
      <c r="D19" t="s">
        <v>35</v>
      </c>
      <c r="E19" s="1">
        <v>240</v>
      </c>
    </row>
    <row r="20" spans="1:5" x14ac:dyDescent="0.35">
      <c r="A20" t="s">
        <v>65</v>
      </c>
      <c r="B20" t="s">
        <v>206</v>
      </c>
      <c r="C20" t="s">
        <v>34</v>
      </c>
      <c r="D20" t="s">
        <v>34</v>
      </c>
      <c r="E20" s="1">
        <v>220</v>
      </c>
    </row>
    <row r="21" spans="1:5" x14ac:dyDescent="0.35">
      <c r="A21" t="s">
        <v>63</v>
      </c>
      <c r="B21" t="s">
        <v>206</v>
      </c>
      <c r="C21" t="s">
        <v>32</v>
      </c>
      <c r="D21" t="s">
        <v>32</v>
      </c>
      <c r="E21" s="1">
        <v>18000</v>
      </c>
    </row>
    <row r="22" spans="1:5" x14ac:dyDescent="0.35">
      <c r="A22" t="s">
        <v>67</v>
      </c>
      <c r="B22" t="s">
        <v>206</v>
      </c>
      <c r="C22" t="s">
        <v>36</v>
      </c>
      <c r="D22" t="s">
        <v>36</v>
      </c>
      <c r="E22" s="1"/>
    </row>
    <row r="23" spans="1:5" x14ac:dyDescent="0.35">
      <c r="A23" t="s">
        <v>64</v>
      </c>
      <c r="B23" t="s">
        <v>206</v>
      </c>
      <c r="C23" t="s">
        <v>33</v>
      </c>
      <c r="D23" t="s">
        <v>33</v>
      </c>
      <c r="E23" s="1">
        <v>650</v>
      </c>
    </row>
    <row r="24" spans="1:5" x14ac:dyDescent="0.35">
      <c r="A24" t="s">
        <v>72</v>
      </c>
      <c r="B24" t="s">
        <v>206</v>
      </c>
      <c r="C24" t="s">
        <v>41</v>
      </c>
      <c r="D24" t="s">
        <v>41</v>
      </c>
      <c r="E24" s="1">
        <v>3500</v>
      </c>
    </row>
    <row r="25" spans="1:5" x14ac:dyDescent="0.35">
      <c r="A25" t="s">
        <v>75</v>
      </c>
      <c r="B25" t="s">
        <v>206</v>
      </c>
      <c r="C25" t="s">
        <v>44</v>
      </c>
      <c r="D25" t="s">
        <v>44</v>
      </c>
      <c r="E25" s="1">
        <v>16800</v>
      </c>
    </row>
    <row r="26" spans="1:5" x14ac:dyDescent="0.35">
      <c r="A26" t="s">
        <v>85</v>
      </c>
      <c r="B26" t="s">
        <v>205</v>
      </c>
      <c r="C26" t="s">
        <v>86</v>
      </c>
      <c r="D26" t="s">
        <v>86</v>
      </c>
      <c r="E26" s="1">
        <v>4000</v>
      </c>
    </row>
    <row r="27" spans="1:5" x14ac:dyDescent="0.35">
      <c r="A27" t="s">
        <v>79</v>
      </c>
      <c r="B27" t="s">
        <v>53</v>
      </c>
      <c r="C27" s="1" t="s">
        <v>176</v>
      </c>
      <c r="D27" s="1" t="s">
        <v>51</v>
      </c>
      <c r="E27" s="1">
        <v>23100</v>
      </c>
    </row>
    <row r="28" spans="1:5" x14ac:dyDescent="0.35">
      <c r="A28" t="s">
        <v>78</v>
      </c>
      <c r="B28" t="s">
        <v>53</v>
      </c>
      <c r="C28" s="1" t="s">
        <v>175</v>
      </c>
      <c r="D28" s="1" t="s">
        <v>50</v>
      </c>
      <c r="E28" s="1">
        <v>27000</v>
      </c>
    </row>
    <row r="29" spans="1:5" x14ac:dyDescent="0.35">
      <c r="A29" t="s">
        <v>80</v>
      </c>
      <c r="B29" t="s">
        <v>53</v>
      </c>
      <c r="C29" s="1" t="s">
        <v>52</v>
      </c>
      <c r="D29" s="1" t="s">
        <v>52</v>
      </c>
      <c r="E29" s="1">
        <v>17650</v>
      </c>
    </row>
    <row r="30" spans="1:5" x14ac:dyDescent="0.35">
      <c r="A30" t="s">
        <v>82</v>
      </c>
      <c r="B30" t="s">
        <v>54</v>
      </c>
      <c r="C30" t="s">
        <v>56</v>
      </c>
      <c r="D30" t="s">
        <v>56</v>
      </c>
      <c r="E30" s="1">
        <v>90</v>
      </c>
    </row>
    <row r="31" spans="1:5" x14ac:dyDescent="0.35">
      <c r="A31" t="s">
        <v>81</v>
      </c>
      <c r="B31" t="s">
        <v>54</v>
      </c>
      <c r="C31" t="s">
        <v>55</v>
      </c>
      <c r="D31" t="s">
        <v>55</v>
      </c>
      <c r="E31" s="1">
        <v>450</v>
      </c>
    </row>
    <row r="32" spans="1:5" x14ac:dyDescent="0.35">
      <c r="A32" t="s">
        <v>83</v>
      </c>
      <c r="B32" t="s">
        <v>54</v>
      </c>
      <c r="C32" t="s">
        <v>57</v>
      </c>
      <c r="D32" t="s">
        <v>57</v>
      </c>
      <c r="E32" s="1">
        <v>320</v>
      </c>
    </row>
    <row r="33" spans="1:5" x14ac:dyDescent="0.35">
      <c r="A33" t="s">
        <v>97</v>
      </c>
      <c r="B33" t="s">
        <v>54</v>
      </c>
      <c r="C33" t="s">
        <v>59</v>
      </c>
      <c r="D33" t="s">
        <v>59</v>
      </c>
      <c r="E33" s="1">
        <v>1500</v>
      </c>
    </row>
    <row r="34" spans="1:5" x14ac:dyDescent="0.35">
      <c r="A34" t="s">
        <v>84</v>
      </c>
      <c r="B34" t="s">
        <v>54</v>
      </c>
      <c r="C34" t="s">
        <v>58</v>
      </c>
      <c r="D34" t="s">
        <v>58</v>
      </c>
      <c r="E34" s="1">
        <v>360</v>
      </c>
    </row>
    <row r="35" spans="1:5" x14ac:dyDescent="0.35">
      <c r="D35"/>
      <c r="E35" s="4">
        <f>SUBTOTAL(109,BdBudgetPrevisionnel[Provision])</f>
        <v>175000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31F77-413A-4844-949B-216B607639AF}">
  <sheetPr>
    <tabColor theme="7" tint="0.79998168889431442"/>
  </sheetPr>
  <dimension ref="A1:I47"/>
  <sheetViews>
    <sheetView workbookViewId="0">
      <selection activeCell="C4" sqref="C4"/>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117</v>
      </c>
      <c r="B1" s="2" t="s">
        <v>102</v>
      </c>
      <c r="C1" s="2" t="s">
        <v>100</v>
      </c>
      <c r="D1" t="s">
        <v>101</v>
      </c>
      <c r="E1" s="6" t="s">
        <v>4</v>
      </c>
      <c r="F1" s="8" t="s">
        <v>0</v>
      </c>
      <c r="G1" s="6" t="s">
        <v>3</v>
      </c>
      <c r="H1" s="2" t="s">
        <v>150</v>
      </c>
    </row>
    <row r="2" spans="1:8" ht="43.5" x14ac:dyDescent="0.35">
      <c r="A2" s="2" t="s">
        <v>23</v>
      </c>
      <c r="B2" s="2" t="s">
        <v>23</v>
      </c>
      <c r="D2" t="s">
        <v>24</v>
      </c>
      <c r="F2" s="8" t="s">
        <v>2</v>
      </c>
      <c r="G2" s="6">
        <f>IF(BdCompetition[[#This Row],[Taxes]]="TTC",BdCompetition[[#This Row],[Cout]],BdCompetition[[#This Row],[Cout]]*1.2)</f>
        <v>0</v>
      </c>
      <c r="H2" s="2" t="s">
        <v>29</v>
      </c>
    </row>
    <row r="3" spans="1:8" x14ac:dyDescent="0.35">
      <c r="A3" s="2" t="s">
        <v>196</v>
      </c>
      <c r="B3" s="2" t="s">
        <v>213</v>
      </c>
      <c r="C3" s="2" t="s">
        <v>79</v>
      </c>
      <c r="D3" t="s">
        <v>207</v>
      </c>
      <c r="E3" s="6">
        <v>0</v>
      </c>
      <c r="F3" s="8" t="s">
        <v>2</v>
      </c>
      <c r="G3" s="6">
        <f>IF(BdCompetition[[#This Row],[Taxes]]="TTC",BdCompetition[[#This Row],[Cout]],BdCompetition[[#This Row],[Cout]]*1.2)</f>
        <v>0</v>
      </c>
      <c r="H3" s="2" t="s">
        <v>199</v>
      </c>
    </row>
    <row r="4" spans="1:8" x14ac:dyDescent="0.35">
      <c r="A4" s="2" t="s">
        <v>195</v>
      </c>
      <c r="B4" s="2" t="s">
        <v>213</v>
      </c>
      <c r="C4" s="2" t="s">
        <v>78</v>
      </c>
      <c r="D4" t="s">
        <v>207</v>
      </c>
      <c r="E4" s="6">
        <v>10000</v>
      </c>
      <c r="F4" s="8" t="s">
        <v>2</v>
      </c>
      <c r="G4" s="6">
        <f>IF(BdCompetition[[#This Row],[Taxes]]="TTC",BdCompetition[[#This Row],[Cout]],BdCompetition[[#This Row],[Cout]]*1.2)</f>
        <v>10000</v>
      </c>
      <c r="H4" s="2" t="s">
        <v>202</v>
      </c>
    </row>
    <row r="5" spans="1:8" x14ac:dyDescent="0.35">
      <c r="A5" s="2" t="s">
        <v>187</v>
      </c>
      <c r="B5" s="2" t="s">
        <v>192</v>
      </c>
      <c r="C5" s="2" t="s">
        <v>61</v>
      </c>
      <c r="D5" t="s">
        <v>188</v>
      </c>
      <c r="E5" s="6">
        <v>16000</v>
      </c>
      <c r="F5" s="8" t="s">
        <v>2</v>
      </c>
      <c r="G5" s="6">
        <f>IF(BdCompetition[[#This Row],[Taxes]]="TTC",BdCompetition[[#This Row],[Cout]],BdCompetition[[#This Row],[Cout]]*1.2)</f>
        <v>16000</v>
      </c>
      <c r="H5" s="2" t="s">
        <v>189</v>
      </c>
    </row>
    <row r="6" spans="1:8" x14ac:dyDescent="0.35">
      <c r="A6" s="2" t="s">
        <v>196</v>
      </c>
      <c r="B6" s="2" t="s">
        <v>212</v>
      </c>
      <c r="C6" s="2" t="s">
        <v>79</v>
      </c>
      <c r="D6" t="s">
        <v>207</v>
      </c>
      <c r="E6" s="6">
        <v>1940</v>
      </c>
      <c r="F6" s="8" t="s">
        <v>2</v>
      </c>
      <c r="G6" s="6">
        <f>IF(BdCompetition[[#This Row],[Taxes]]="TTC",BdCompetition[[#This Row],[Cout]],BdCompetition[[#This Row],[Cout]]*1.2)</f>
        <v>1940</v>
      </c>
      <c r="H6" s="2" t="s">
        <v>198</v>
      </c>
    </row>
    <row r="7" spans="1:8" x14ac:dyDescent="0.35">
      <c r="A7" s="2" t="s">
        <v>195</v>
      </c>
      <c r="B7" s="2" t="s">
        <v>212</v>
      </c>
      <c r="C7" s="2" t="s">
        <v>78</v>
      </c>
      <c r="D7" t="s">
        <v>207</v>
      </c>
      <c r="E7" s="6">
        <v>18000</v>
      </c>
      <c r="F7" s="8" t="s">
        <v>2</v>
      </c>
      <c r="G7" s="6">
        <f>IF(BdCompetition[[#This Row],[Taxes]]="TTC",BdCompetition[[#This Row],[Cout]],BdCompetition[[#This Row],[Cout]]*1.2)</f>
        <v>18000</v>
      </c>
      <c r="H7" s="2" t="s">
        <v>201</v>
      </c>
    </row>
    <row r="8" spans="1:8" x14ac:dyDescent="0.35">
      <c r="A8" s="2" t="s">
        <v>187</v>
      </c>
      <c r="B8" s="2" t="s">
        <v>193</v>
      </c>
      <c r="C8" s="2" t="s">
        <v>61</v>
      </c>
      <c r="D8" t="s">
        <v>188</v>
      </c>
      <c r="E8" s="6">
        <v>24000</v>
      </c>
      <c r="F8" s="8" t="s">
        <v>2</v>
      </c>
      <c r="G8" s="6">
        <f>IF(BdCompetition[[#This Row],[Taxes]]="TTC",BdCompetition[[#This Row],[Cout]],BdCompetition[[#This Row],[Cout]]*1.2)</f>
        <v>24000</v>
      </c>
      <c r="H8" s="2" t="s">
        <v>190</v>
      </c>
    </row>
    <row r="9" spans="1:8" x14ac:dyDescent="0.35">
      <c r="A9" s="2" t="s">
        <v>196</v>
      </c>
      <c r="B9" s="2" t="s">
        <v>214</v>
      </c>
      <c r="C9" s="2" t="s">
        <v>79</v>
      </c>
      <c r="D9" t="s">
        <v>207</v>
      </c>
      <c r="E9" s="6">
        <v>5710</v>
      </c>
      <c r="F9" s="8" t="s">
        <v>2</v>
      </c>
      <c r="G9" s="6">
        <f>IF(BdCompetition[[#This Row],[Taxes]]="TTC",BdCompetition[[#This Row],[Cout]],BdCompetition[[#This Row],[Cout]]*1.2)</f>
        <v>5710</v>
      </c>
      <c r="H9" s="2" t="s">
        <v>199</v>
      </c>
    </row>
    <row r="10" spans="1:8" x14ac:dyDescent="0.35">
      <c r="A10" s="2" t="s">
        <v>195</v>
      </c>
      <c r="B10" s="2" t="s">
        <v>214</v>
      </c>
      <c r="C10" s="2" t="s">
        <v>78</v>
      </c>
      <c r="D10" t="s">
        <v>207</v>
      </c>
      <c r="E10" s="6">
        <v>20000</v>
      </c>
      <c r="F10" s="8" t="s">
        <v>2</v>
      </c>
      <c r="G10" s="6">
        <f>IF(BdCompetition[[#This Row],[Taxes]]="TTC",BdCompetition[[#This Row],[Cout]],BdCompetition[[#This Row],[Cout]]*1.2)</f>
        <v>20000</v>
      </c>
      <c r="H10" s="2" t="s">
        <v>202</v>
      </c>
    </row>
    <row r="11" spans="1:8" x14ac:dyDescent="0.35">
      <c r="A11" s="2" t="s">
        <v>187</v>
      </c>
      <c r="B11" s="2" t="s">
        <v>194</v>
      </c>
      <c r="C11" s="2" t="s">
        <v>61</v>
      </c>
      <c r="D11" t="s">
        <v>188</v>
      </c>
      <c r="E11" s="6">
        <v>37000</v>
      </c>
      <c r="F11" s="8" t="s">
        <v>2</v>
      </c>
      <c r="G11" s="6">
        <f>IF(BdCompetition[[#This Row],[Taxes]]="TTC",BdCompetition[[#This Row],[Cout]],BdCompetition[[#This Row],[Cout]]*1.2)</f>
        <v>37000</v>
      </c>
      <c r="H11" s="2" t="s">
        <v>191</v>
      </c>
    </row>
    <row r="12" spans="1:8" x14ac:dyDescent="0.35">
      <c r="A12" s="2" t="s">
        <v>196</v>
      </c>
      <c r="B12" s="2" t="s">
        <v>215</v>
      </c>
      <c r="C12" s="2" t="s">
        <v>79</v>
      </c>
      <c r="D12" t="s">
        <v>207</v>
      </c>
      <c r="E12" s="6">
        <v>10770</v>
      </c>
      <c r="F12" s="8" t="s">
        <v>2</v>
      </c>
      <c r="G12" s="6">
        <f>IF(BdCompetition[[#This Row],[Taxes]]="TTC",BdCompetition[[#This Row],[Cout]],BdCompetition[[#This Row],[Cout]]*1.2)</f>
        <v>10770</v>
      </c>
      <c r="H12" s="2" t="s">
        <v>200</v>
      </c>
    </row>
    <row r="13" spans="1:8" x14ac:dyDescent="0.35">
      <c r="A13" s="2" t="s">
        <v>195</v>
      </c>
      <c r="B13" s="2" t="s">
        <v>215</v>
      </c>
      <c r="C13" s="2" t="s">
        <v>78</v>
      </c>
      <c r="D13" t="s">
        <v>207</v>
      </c>
      <c r="E13" s="6">
        <v>25000</v>
      </c>
      <c r="F13" s="8" t="s">
        <v>2</v>
      </c>
      <c r="G13" s="6">
        <f>IF(BdCompetition[[#This Row],[Taxes]]="TTC",BdCompetition[[#This Row],[Cout]],BdCompetition[[#This Row],[Cout]]*1.2)</f>
        <v>25000</v>
      </c>
      <c r="H13" s="2" t="s">
        <v>197</v>
      </c>
    </row>
    <row r="14" spans="1:8" ht="29" x14ac:dyDescent="0.35">
      <c r="A14" s="2" t="s">
        <v>9</v>
      </c>
      <c r="B14" s="2" t="s">
        <v>126</v>
      </c>
      <c r="D14" t="s">
        <v>10</v>
      </c>
      <c r="E14" s="6">
        <v>3000</v>
      </c>
      <c r="F14" s="8" t="s">
        <v>2</v>
      </c>
      <c r="G14" s="6">
        <f>IF(BdCompetition[[#This Row],[Taxes]]="TTC",BdCompetition[[#This Row],[Cout]],BdCompetition[[#This Row],[Cout]]*1.2)</f>
        <v>3000</v>
      </c>
    </row>
    <row r="15" spans="1:8" ht="29" x14ac:dyDescent="0.35">
      <c r="A15" s="2" t="s">
        <v>9</v>
      </c>
      <c r="B15" s="2" t="s">
        <v>125</v>
      </c>
      <c r="D15" t="s">
        <v>11</v>
      </c>
      <c r="E15" s="6">
        <v>2460</v>
      </c>
      <c r="F15" s="8" t="s">
        <v>2</v>
      </c>
      <c r="G15" s="6">
        <f>IF(BdCompetition[[#This Row],[Taxes]]="TTC",BdCompetition[[#This Row],[Cout]],BdCompetition[[#This Row],[Cout]]*1.2)</f>
        <v>2460</v>
      </c>
    </row>
    <row r="16" spans="1:8" ht="29" x14ac:dyDescent="0.35">
      <c r="A16" s="2" t="s">
        <v>28</v>
      </c>
      <c r="B16" s="2" t="s">
        <v>28</v>
      </c>
      <c r="C16" s="2" t="s">
        <v>75</v>
      </c>
      <c r="D16" t="s">
        <v>27</v>
      </c>
      <c r="E16" s="6">
        <v>1051.2</v>
      </c>
      <c r="F16" s="8" t="s">
        <v>2</v>
      </c>
      <c r="G16" s="6">
        <f>IF(BdCompetition[[#This Row],[Taxes]]="TTC",BdCompetition[[#This Row],[Cout]],BdCompetition[[#This Row],[Cout]]*1.2)</f>
        <v>1051.2</v>
      </c>
      <c r="H16" s="2" t="s">
        <v>28</v>
      </c>
    </row>
    <row r="17" spans="1:8" x14ac:dyDescent="0.35">
      <c r="A17" s="2" t="s">
        <v>8</v>
      </c>
      <c r="B17" s="2" t="s">
        <v>129</v>
      </c>
      <c r="C17" t="s">
        <v>74</v>
      </c>
      <c r="D17" t="s">
        <v>98</v>
      </c>
      <c r="E17" s="6">
        <v>748.15</v>
      </c>
      <c r="F17" s="8" t="s">
        <v>2</v>
      </c>
      <c r="G17" s="6">
        <f>IF(BdCompetition[[#This Row],[Taxes]]="TTC",BdCompetition[[#This Row],[Cout]],BdCompetition[[#This Row],[Cout]]*1.2)</f>
        <v>748.15</v>
      </c>
      <c r="H17" s="2" t="s">
        <v>99</v>
      </c>
    </row>
    <row r="18" spans="1:8" x14ac:dyDescent="0.35">
      <c r="A18" s="2" t="s">
        <v>5</v>
      </c>
      <c r="B18" s="2" t="s">
        <v>128</v>
      </c>
      <c r="C18" t="s">
        <v>73</v>
      </c>
      <c r="D18" t="s">
        <v>6</v>
      </c>
      <c r="E18" s="6">
        <v>6096.65</v>
      </c>
      <c r="F18" s="8" t="s">
        <v>2</v>
      </c>
      <c r="G18" s="6">
        <f>IF(BdCompetition[[#This Row],[Taxes]]="TTC",BdCompetition[[#This Row],[Cout]],BdCompetition[[#This Row],[Cout]]*1.2)</f>
        <v>6096.65</v>
      </c>
      <c r="H18" s="2" t="s">
        <v>113</v>
      </c>
    </row>
    <row r="19" spans="1:8" x14ac:dyDescent="0.35">
      <c r="A19" s="2" t="s">
        <v>5</v>
      </c>
      <c r="B19" s="2" t="s">
        <v>127</v>
      </c>
      <c r="C19" t="s">
        <v>73</v>
      </c>
      <c r="D19" t="s">
        <v>7</v>
      </c>
      <c r="E19" s="6">
        <v>7502.9</v>
      </c>
      <c r="F19" s="8" t="s">
        <v>2</v>
      </c>
      <c r="G19" s="6">
        <f>IF(BdCompetition[[#This Row],[Taxes]]="TTC",BdCompetition[[#This Row],[Cout]],BdCompetition[[#This Row],[Cout]]*1.2)</f>
        <v>7502.9</v>
      </c>
      <c r="H19" s="2" t="s">
        <v>114</v>
      </c>
    </row>
    <row r="20" spans="1:8" ht="29" x14ac:dyDescent="0.35">
      <c r="A20" s="2" t="s">
        <v>20</v>
      </c>
      <c r="B20" s="2" t="s">
        <v>139</v>
      </c>
      <c r="C20" t="s">
        <v>80</v>
      </c>
      <c r="D20" t="s">
        <v>88</v>
      </c>
      <c r="E20" s="6">
        <f>16750</f>
        <v>16750</v>
      </c>
      <c r="F20" s="8" t="s">
        <v>2</v>
      </c>
      <c r="G20" s="6">
        <f>IF(BdCompetition[[#This Row],[Taxes]]="TTC",BdCompetition[[#This Row],[Cout]],BdCompetition[[#This Row],[Cout]]*1.2)</f>
        <v>16750</v>
      </c>
      <c r="H20" s="2" t="s">
        <v>148</v>
      </c>
    </row>
    <row r="21" spans="1:8" ht="29" x14ac:dyDescent="0.35">
      <c r="A21" s="2" t="s">
        <v>20</v>
      </c>
      <c r="B21" s="2" t="s">
        <v>139</v>
      </c>
      <c r="C21" t="s">
        <v>80</v>
      </c>
      <c r="D21" t="s">
        <v>88</v>
      </c>
      <c r="E21" s="6">
        <f>887</f>
        <v>887</v>
      </c>
      <c r="F21" s="8" t="s">
        <v>2</v>
      </c>
      <c r="G21" s="6">
        <f>IF(BdCompetition[[#This Row],[Taxes]]="TTC",BdCompetition[[#This Row],[Cout]],BdCompetition[[#This Row],[Cout]]*1.2)</f>
        <v>887</v>
      </c>
      <c r="H21" s="2" t="s">
        <v>149</v>
      </c>
    </row>
    <row r="22" spans="1:8" ht="29" x14ac:dyDescent="0.35">
      <c r="A22" s="2" t="s">
        <v>20</v>
      </c>
      <c r="B22" s="2" t="s">
        <v>141</v>
      </c>
      <c r="C22" t="s">
        <v>80</v>
      </c>
      <c r="D22" t="s">
        <v>22</v>
      </c>
      <c r="F22" s="8" t="s">
        <v>2</v>
      </c>
      <c r="G22" s="6">
        <f>IF(BdCompetition[[#This Row],[Taxes]]="TTC",BdCompetition[[#This Row],[Cout]],BdCompetition[[#This Row],[Cout]]*1.2)</f>
        <v>0</v>
      </c>
      <c r="H22" t="s">
        <v>145</v>
      </c>
    </row>
    <row r="23" spans="1:8" ht="29" x14ac:dyDescent="0.35">
      <c r="A23" s="2" t="s">
        <v>20</v>
      </c>
      <c r="B23" s="2" t="s">
        <v>140</v>
      </c>
      <c r="C23" t="s">
        <v>80</v>
      </c>
      <c r="D23" t="s">
        <v>21</v>
      </c>
      <c r="F23" s="8" t="s">
        <v>2</v>
      </c>
      <c r="G23" s="6">
        <f>IF(BdCompetition[[#This Row],[Taxes]]="TTC",BdCompetition[[#This Row],[Cout]],BdCompetition[[#This Row],[Cout]]*1.2)</f>
        <v>0</v>
      </c>
      <c r="H23" t="s">
        <v>145</v>
      </c>
    </row>
    <row r="24" spans="1:8" x14ac:dyDescent="0.35">
      <c r="A24" s="2" t="s">
        <v>12</v>
      </c>
      <c r="B24" s="2" t="s">
        <v>132</v>
      </c>
      <c r="C24" t="s">
        <v>63</v>
      </c>
      <c r="D24" t="s">
        <v>118</v>
      </c>
      <c r="E24" s="6">
        <f>1140*12</f>
        <v>13680</v>
      </c>
      <c r="F24" s="8" t="s">
        <v>2</v>
      </c>
      <c r="G24" s="6">
        <f>IF(BdCompetition[[#This Row],[Taxes]]="TTC",BdCompetition[[#This Row],[Cout]],BdCompetition[[#This Row],[Cout]]*1.2)</f>
        <v>13680</v>
      </c>
      <c r="H24" s="2" t="s">
        <v>115</v>
      </c>
    </row>
    <row r="25" spans="1:8" x14ac:dyDescent="0.35">
      <c r="A25" s="2" t="s">
        <v>12</v>
      </c>
      <c r="B25" s="2" t="s">
        <v>130</v>
      </c>
      <c r="C25" t="s">
        <v>63</v>
      </c>
      <c r="D25" t="s">
        <v>121</v>
      </c>
      <c r="E25" s="6">
        <f>2836.8*12</f>
        <v>34041.600000000006</v>
      </c>
      <c r="F25" s="8" t="s">
        <v>2</v>
      </c>
      <c r="G25" s="6">
        <f>IF(BdCompetition[[#This Row],[Taxes]]="TTC",BdCompetition[[#This Row],[Cout]],BdCompetition[[#This Row],[Cout]]*1.2)</f>
        <v>34041.600000000006</v>
      </c>
      <c r="H25" s="2" t="s">
        <v>116</v>
      </c>
    </row>
    <row r="26" spans="1:8" x14ac:dyDescent="0.35">
      <c r="A26" s="2" t="s">
        <v>12</v>
      </c>
      <c r="B26" s="2" t="s">
        <v>131</v>
      </c>
      <c r="C26" t="s">
        <v>63</v>
      </c>
      <c r="D26" t="s">
        <v>118</v>
      </c>
      <c r="E26" s="6">
        <f>1518*12</f>
        <v>18216</v>
      </c>
      <c r="F26" s="8" t="s">
        <v>2</v>
      </c>
      <c r="G26" s="6">
        <f>IF(BdCompetition[[#This Row],[Taxes]]="TTC",BdCompetition[[#This Row],[Cout]],BdCompetition[[#This Row],[Cout]]*1.2)</f>
        <v>18216</v>
      </c>
      <c r="H26" s="2" t="s">
        <v>116</v>
      </c>
    </row>
    <row r="27" spans="1:8" ht="29" x14ac:dyDescent="0.35">
      <c r="A27" s="2" t="s">
        <v>18</v>
      </c>
      <c r="B27" s="2" t="s">
        <v>136</v>
      </c>
      <c r="C27" t="s">
        <v>81</v>
      </c>
      <c r="D27" t="s">
        <v>122</v>
      </c>
      <c r="E27" s="6">
        <v>516</v>
      </c>
      <c r="F27" s="8" t="s">
        <v>2</v>
      </c>
      <c r="G27" s="6">
        <f>IF(BdCompetition[[#This Row],[Taxes]]="TTC",BdCompetition[[#This Row],[Cout]],BdCompetition[[#This Row],[Cout]]*1.2)</f>
        <v>516</v>
      </c>
      <c r="H27" s="2" t="s">
        <v>142</v>
      </c>
    </row>
    <row r="28" spans="1:8" ht="29" x14ac:dyDescent="0.35">
      <c r="A28" s="2" t="s">
        <v>18</v>
      </c>
      <c r="B28" s="2" t="s">
        <v>137</v>
      </c>
      <c r="C28" t="s">
        <v>81</v>
      </c>
      <c r="D28" t="s">
        <v>122</v>
      </c>
      <c r="E28" s="6">
        <v>456</v>
      </c>
      <c r="F28" s="8" t="s">
        <v>2</v>
      </c>
      <c r="G28" s="6">
        <f>IF(BdCompetition[[#This Row],[Taxes]]="TTC",BdCompetition[[#This Row],[Cout]],BdCompetition[[#This Row],[Cout]]*1.2)</f>
        <v>456</v>
      </c>
      <c r="H28" s="2" t="s">
        <v>143</v>
      </c>
    </row>
    <row r="29" spans="1:8" ht="87" x14ac:dyDescent="0.35">
      <c r="A29" s="2" t="s">
        <v>18</v>
      </c>
      <c r="B29" s="2" t="s">
        <v>138</v>
      </c>
      <c r="C29" t="s">
        <v>81</v>
      </c>
      <c r="D29" t="s">
        <v>19</v>
      </c>
      <c r="E29" s="6">
        <v>660</v>
      </c>
      <c r="F29" s="8" t="s">
        <v>2</v>
      </c>
      <c r="G29" s="6">
        <f>IF(BdCompetition[[#This Row],[Taxes]]="TTC",BdCompetition[[#This Row],[Cout]],BdCompetition[[#This Row],[Cout]]*1.2)</f>
        <v>660</v>
      </c>
      <c r="H29" s="2" t="s">
        <v>144</v>
      </c>
    </row>
    <row r="30" spans="1:8" x14ac:dyDescent="0.35">
      <c r="A30" s="2" t="s">
        <v>13</v>
      </c>
      <c r="B30" s="2" t="s">
        <v>151</v>
      </c>
      <c r="C30" t="s">
        <v>93</v>
      </c>
      <c r="D30" t="s">
        <v>87</v>
      </c>
      <c r="E30" s="6">
        <v>2400</v>
      </c>
      <c r="F30" s="8" t="s">
        <v>1</v>
      </c>
      <c r="G30" s="6">
        <f>IF(BdCompetition[[#This Row],[Taxes]]="TTC",BdCompetition[[#This Row],[Cout]],BdCompetition[[#This Row],[Cout]]*1.2)</f>
        <v>2880</v>
      </c>
      <c r="H30" s="2" t="s">
        <v>146</v>
      </c>
    </row>
    <row r="31" spans="1:8" x14ac:dyDescent="0.35">
      <c r="A31" s="2" t="s">
        <v>13</v>
      </c>
      <c r="B31" s="2" t="s">
        <v>154</v>
      </c>
      <c r="C31" t="s">
        <v>94</v>
      </c>
      <c r="D31" t="s">
        <v>87</v>
      </c>
      <c r="E31" s="6">
        <v>2400</v>
      </c>
      <c r="F31" s="8" t="s">
        <v>1</v>
      </c>
      <c r="G31" s="6">
        <f>IF(BdCompetition[[#This Row],[Taxes]]="TTC",BdCompetition[[#This Row],[Cout]],BdCompetition[[#This Row],[Cout]]*1.2)</f>
        <v>2880</v>
      </c>
      <c r="H31" s="2" t="s">
        <v>146</v>
      </c>
    </row>
    <row r="32" spans="1:8" x14ac:dyDescent="0.35">
      <c r="A32" s="2" t="s">
        <v>13</v>
      </c>
      <c r="B32" s="2" t="s">
        <v>156</v>
      </c>
      <c r="C32" t="s">
        <v>95</v>
      </c>
      <c r="D32" t="s">
        <v>87</v>
      </c>
      <c r="E32" s="6">
        <v>2450</v>
      </c>
      <c r="F32" s="8" t="s">
        <v>1</v>
      </c>
      <c r="G32" s="6">
        <f>IF(BdCompetition[[#This Row],[Taxes]]="TTC",BdCompetition[[#This Row],[Cout]],BdCompetition[[#This Row],[Cout]]*1.2)</f>
        <v>2940</v>
      </c>
      <c r="H32" s="2" t="s">
        <v>146</v>
      </c>
    </row>
    <row r="33" spans="1:9" x14ac:dyDescent="0.35">
      <c r="A33" s="2" t="s">
        <v>13</v>
      </c>
      <c r="B33" s="2" t="s">
        <v>158</v>
      </c>
      <c r="C33" t="s">
        <v>96</v>
      </c>
      <c r="D33" t="s">
        <v>87</v>
      </c>
      <c r="E33" s="6">
        <v>2200</v>
      </c>
      <c r="F33" s="8" t="s">
        <v>1</v>
      </c>
      <c r="G33" s="6">
        <f>IF(BdCompetition[[#This Row],[Taxes]]="TTC",BdCompetition[[#This Row],[Cout]],BdCompetition[[#This Row],[Cout]]*1.2)</f>
        <v>2640</v>
      </c>
      <c r="H33" s="2" t="s">
        <v>147</v>
      </c>
    </row>
    <row r="34" spans="1:9" x14ac:dyDescent="0.35">
      <c r="A34" s="2" t="s">
        <v>25</v>
      </c>
      <c r="B34" s="2" t="s">
        <v>25</v>
      </c>
      <c r="D34" t="s">
        <v>26</v>
      </c>
      <c r="E34" s="6">
        <v>160</v>
      </c>
      <c r="F34" s="8" t="s">
        <v>2</v>
      </c>
      <c r="G34" s="6">
        <f>IF(BdCompetition[[#This Row],[Taxes]]="TTC",BdCompetition[[#This Row],[Cout]],BdCompetition[[#This Row],[Cout]]*1.2)</f>
        <v>160</v>
      </c>
    </row>
    <row r="35" spans="1:9" x14ac:dyDescent="0.35">
      <c r="A35" s="2" t="s">
        <v>12</v>
      </c>
      <c r="B35" s="2" t="s">
        <v>124</v>
      </c>
      <c r="C35" t="s">
        <v>63</v>
      </c>
      <c r="D35" t="s">
        <v>121</v>
      </c>
      <c r="E35" s="6">
        <f>2400*12</f>
        <v>28800</v>
      </c>
      <c r="F35" s="8" t="s">
        <v>2</v>
      </c>
      <c r="G35" s="6">
        <f>IF(BdCompetition[[#This Row],[Taxes]]="TTC",BdCompetition[[#This Row],[Cout]],BdCompetition[[#This Row],[Cout]]*1.2)</f>
        <v>28800</v>
      </c>
      <c r="H35" s="2" t="s">
        <v>120</v>
      </c>
    </row>
    <row r="36" spans="1:9" x14ac:dyDescent="0.35">
      <c r="A36" s="2" t="s">
        <v>12</v>
      </c>
      <c r="B36" s="2" t="s">
        <v>123</v>
      </c>
      <c r="C36" t="s">
        <v>63</v>
      </c>
      <c r="D36" t="s">
        <v>121</v>
      </c>
      <c r="E36" s="6">
        <f>1320*12</f>
        <v>15840</v>
      </c>
      <c r="F36" s="8" t="s">
        <v>2</v>
      </c>
      <c r="G36" s="6">
        <f>IF(BdCompetition[[#This Row],[Taxes]]="TTC",BdCompetition[[#This Row],[Cout]],BdCompetition[[#This Row],[Cout]]*1.2)</f>
        <v>15840</v>
      </c>
      <c r="H36" s="2" t="s">
        <v>119</v>
      </c>
    </row>
    <row r="37" spans="1:9" x14ac:dyDescent="0.35">
      <c r="A37" s="2" t="s">
        <v>14</v>
      </c>
      <c r="B37" s="2" t="s">
        <v>135</v>
      </c>
      <c r="D37" t="s">
        <v>17</v>
      </c>
      <c r="E37" s="6">
        <v>3198.13</v>
      </c>
      <c r="F37" s="8" t="s">
        <v>2</v>
      </c>
      <c r="G37" s="6">
        <f>IF(BdCompetition[[#This Row],[Taxes]]="TTC",BdCompetition[[#This Row],[Cout]],BdCompetition[[#This Row],[Cout]]*1.2)</f>
        <v>3198.13</v>
      </c>
    </row>
    <row r="38" spans="1:9" x14ac:dyDescent="0.35">
      <c r="A38" s="2" t="s">
        <v>14</v>
      </c>
      <c r="B38" s="2" t="s">
        <v>134</v>
      </c>
      <c r="D38" t="s">
        <v>16</v>
      </c>
      <c r="E38" s="6">
        <v>3322.8</v>
      </c>
      <c r="F38" s="8" t="s">
        <v>2</v>
      </c>
      <c r="G38" s="6">
        <f>IF(BdCompetition[[#This Row],[Taxes]]="TTC",BdCompetition[[#This Row],[Cout]],BdCompetition[[#This Row],[Cout]]*1.2)</f>
        <v>3322.8</v>
      </c>
    </row>
    <row r="39" spans="1:9" x14ac:dyDescent="0.35">
      <c r="A39" s="2" t="s">
        <v>14</v>
      </c>
      <c r="B39" s="2" t="s">
        <v>133</v>
      </c>
      <c r="D39" t="s">
        <v>15</v>
      </c>
      <c r="E39" s="6">
        <v>3138.27</v>
      </c>
      <c r="F39" s="8" t="s">
        <v>2</v>
      </c>
      <c r="G39" s="6">
        <f>IF(BdCompetition[[#This Row],[Taxes]]="TTC",BdCompetition[[#This Row],[Cout]],BdCompetition[[#This Row],[Cout]]*1.2)</f>
        <v>3138.27</v>
      </c>
    </row>
    <row r="40" spans="1:9" x14ac:dyDescent="0.35">
      <c r="A40" s="2" t="s">
        <v>13</v>
      </c>
      <c r="B40" s="2" t="s">
        <v>152</v>
      </c>
      <c r="C40" t="s">
        <v>93</v>
      </c>
      <c r="D40" t="s">
        <v>87</v>
      </c>
      <c r="E40" s="6">
        <v>240</v>
      </c>
      <c r="F40" s="8" t="s">
        <v>1</v>
      </c>
      <c r="G40" s="6">
        <f>IF(BdCompetition[[#This Row],[Taxes]]="TTC",BdCompetition[[#This Row],[Cout]],BdCompetition[[#This Row],[Cout]]*1.2)</f>
        <v>288</v>
      </c>
      <c r="H40" s="2" t="s">
        <v>146</v>
      </c>
    </row>
    <row r="41" spans="1:9" x14ac:dyDescent="0.35">
      <c r="A41" s="2" t="s">
        <v>13</v>
      </c>
      <c r="B41" s="2" t="s">
        <v>153</v>
      </c>
      <c r="C41" t="s">
        <v>94</v>
      </c>
      <c r="D41" t="s">
        <v>87</v>
      </c>
      <c r="E41" s="6">
        <v>240</v>
      </c>
      <c r="F41" s="8" t="s">
        <v>1</v>
      </c>
      <c r="G41" s="6">
        <f>IF(BdCompetition[[#This Row],[Taxes]]="TTC",BdCompetition[[#This Row],[Cout]],BdCompetition[[#This Row],[Cout]]*1.2)</f>
        <v>288</v>
      </c>
      <c r="H41" s="2" t="s">
        <v>146</v>
      </c>
    </row>
    <row r="42" spans="1:9" x14ac:dyDescent="0.35">
      <c r="A42" s="2" t="s">
        <v>13</v>
      </c>
      <c r="B42" s="2" t="s">
        <v>155</v>
      </c>
      <c r="C42" t="s">
        <v>95</v>
      </c>
      <c r="D42" t="s">
        <v>87</v>
      </c>
      <c r="E42" s="6">
        <v>240</v>
      </c>
      <c r="F42" s="8" t="s">
        <v>1</v>
      </c>
      <c r="G42" s="6">
        <f>IF(BdCompetition[[#This Row],[Taxes]]="TTC",BdCompetition[[#This Row],[Cout]],BdCompetition[[#This Row],[Cout]]*1.2)</f>
        <v>288</v>
      </c>
      <c r="H42" s="2" t="s">
        <v>146</v>
      </c>
    </row>
    <row r="43" spans="1:9" x14ac:dyDescent="0.35">
      <c r="A43" s="2" t="s">
        <v>13</v>
      </c>
      <c r="B43" s="2" t="s">
        <v>157</v>
      </c>
      <c r="C43" t="s">
        <v>96</v>
      </c>
      <c r="D43" t="s">
        <v>87</v>
      </c>
      <c r="E43" s="6">
        <v>240</v>
      </c>
      <c r="F43" s="8" t="s">
        <v>1</v>
      </c>
      <c r="G43" s="6">
        <f>IF(BdCompetition[[#This Row],[Taxes]]="TTC",BdCompetition[[#This Row],[Cout]],BdCompetition[[#This Row],[Cout]]*1.2)</f>
        <v>288</v>
      </c>
      <c r="H43" s="2" t="s">
        <v>146</v>
      </c>
    </row>
    <row r="44" spans="1:9" x14ac:dyDescent="0.35">
      <c r="A44" s="2" t="s">
        <v>111</v>
      </c>
      <c r="B44" s="2" t="s">
        <v>208</v>
      </c>
      <c r="C44" s="2" t="s">
        <v>75</v>
      </c>
      <c r="D44" t="s">
        <v>207</v>
      </c>
      <c r="E44" s="7">
        <v>10000</v>
      </c>
      <c r="F44" s="9" t="s">
        <v>2</v>
      </c>
      <c r="G44" s="7">
        <f>IF(BdCompetition[[#This Row],[Taxes]]="TTC",BdCompetition[[#This Row],[Cout]],BdCompetition[[#This Row],[Cout]]*1.2)</f>
        <v>10000</v>
      </c>
      <c r="H44" s="5"/>
      <c r="I44" s="2"/>
    </row>
    <row r="45" spans="1:9" x14ac:dyDescent="0.35">
      <c r="A45" s="2" t="s">
        <v>111</v>
      </c>
      <c r="B45" s="2" t="s">
        <v>210</v>
      </c>
      <c r="C45" s="2" t="s">
        <v>75</v>
      </c>
      <c r="D45" t="s">
        <v>207</v>
      </c>
      <c r="E45" s="7">
        <v>12500</v>
      </c>
      <c r="F45" s="9" t="s">
        <v>2</v>
      </c>
      <c r="G45" s="7">
        <f>IF(BdCompetition[[#This Row],[Taxes]]="TTC",BdCompetition[[#This Row],[Cout]],BdCompetition[[#This Row],[Cout]]*1.2)</f>
        <v>12500</v>
      </c>
      <c r="H45" s="5"/>
      <c r="I45" s="2"/>
    </row>
    <row r="46" spans="1:9" x14ac:dyDescent="0.35">
      <c r="A46" s="2" t="s">
        <v>111</v>
      </c>
      <c r="B46" s="2" t="s">
        <v>209</v>
      </c>
      <c r="C46" s="2" t="s">
        <v>75</v>
      </c>
      <c r="D46" t="s">
        <v>207</v>
      </c>
      <c r="E46" s="7">
        <v>15000</v>
      </c>
      <c r="F46" s="9" t="s">
        <v>2</v>
      </c>
      <c r="G46" s="7">
        <f>IF(BdCompetition[[#This Row],[Taxes]]="TTC",BdCompetition[[#This Row],[Cout]],BdCompetition[[#This Row],[Cout]]*1.2)</f>
        <v>15000</v>
      </c>
      <c r="H46" s="5"/>
      <c r="I46" s="2"/>
    </row>
    <row r="47" spans="1:9" x14ac:dyDescent="0.35">
      <c r="A47" s="2" t="s">
        <v>111</v>
      </c>
      <c r="B47" s="2" t="s">
        <v>111</v>
      </c>
      <c r="C47" s="2" t="s">
        <v>75</v>
      </c>
      <c r="D47" t="s">
        <v>27</v>
      </c>
      <c r="E47" s="7">
        <v>16800</v>
      </c>
      <c r="F47" s="9" t="s">
        <v>2</v>
      </c>
      <c r="G47" s="7">
        <f>IF(BdCompetition[[#This Row],[Taxes]]="TTC",BdCompetition[[#This Row],[Cout]],BdCompetition[[#This Row],[Cout]]*1.2)</f>
        <v>16800</v>
      </c>
      <c r="H47" s="5" t="s">
        <v>112</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CCC6CC0A-B84A-46A4-9443-3186D68D5F75}">
          <x14:formula1>
            <xm:f>Budget!$A$2:$A$34</xm:f>
          </x14:formula1>
          <xm:sqref>C2:C47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75D61-F58E-4476-8C07-B1CAEC1E0C10}">
  <sheetPr>
    <tabColor theme="2" tint="-9.9978637043366805E-2"/>
  </sheetPr>
  <dimension ref="A1:T7"/>
  <sheetViews>
    <sheetView tabSelected="1" workbookViewId="0">
      <selection activeCell="B16" sqref="B16"/>
    </sheetView>
  </sheetViews>
  <sheetFormatPr defaultColWidth="9.1796875" defaultRowHeight="14.5" x14ac:dyDescent="0.35"/>
  <cols>
    <col min="1" max="1" width="13.54296875" bestFit="1" customWidth="1"/>
    <col min="2" max="2" width="22.81640625" bestFit="1" customWidth="1"/>
    <col min="3" max="3" width="48.54296875" style="3" bestFit="1" customWidth="1"/>
    <col min="4" max="4" width="22.26953125" bestFit="1" customWidth="1"/>
    <col min="5" max="6" width="25.26953125" bestFit="1" customWidth="1"/>
    <col min="7" max="8" width="23.54296875" bestFit="1" customWidth="1"/>
    <col min="9" max="9" width="21.81640625" bestFit="1" customWidth="1"/>
    <col min="10" max="12" width="22.7265625" bestFit="1" customWidth="1"/>
    <col min="13" max="14" width="19.7265625" bestFit="1" customWidth="1"/>
    <col min="15" max="15" width="17.81640625" bestFit="1" customWidth="1"/>
    <col min="16" max="16" width="37.453125" bestFit="1" customWidth="1"/>
    <col min="17" max="17" width="16.54296875" bestFit="1" customWidth="1"/>
    <col min="18" max="18" width="16.1796875" bestFit="1" customWidth="1"/>
    <col min="19" max="19" width="12.26953125" bestFit="1" customWidth="1"/>
  </cols>
  <sheetData>
    <row r="1" spans="1:20" x14ac:dyDescent="0.35">
      <c r="A1" t="s">
        <v>161</v>
      </c>
      <c r="B1" t="s">
        <v>107</v>
      </c>
      <c r="C1" t="s">
        <v>108</v>
      </c>
      <c r="D1" s="10" t="s">
        <v>162</v>
      </c>
      <c r="E1" s="10" t="s">
        <v>163</v>
      </c>
      <c r="F1" s="10" t="s">
        <v>164</v>
      </c>
      <c r="G1" s="10" t="s">
        <v>165</v>
      </c>
      <c r="H1" s="10" t="s">
        <v>203</v>
      </c>
      <c r="I1" s="10" t="s">
        <v>166</v>
      </c>
      <c r="J1" s="10" t="s">
        <v>168</v>
      </c>
      <c r="K1" s="10" t="s">
        <v>169</v>
      </c>
      <c r="L1" s="10" t="s">
        <v>170</v>
      </c>
      <c r="M1" s="10" t="s">
        <v>171</v>
      </c>
      <c r="N1" s="10" t="s">
        <v>172</v>
      </c>
      <c r="O1" s="10" t="s">
        <v>173</v>
      </c>
      <c r="P1" s="10" t="s">
        <v>174</v>
      </c>
      <c r="Q1" s="10" t="s">
        <v>204</v>
      </c>
      <c r="R1" s="10" t="s">
        <v>109</v>
      </c>
      <c r="S1" t="s">
        <v>167</v>
      </c>
      <c r="T1" t="s">
        <v>159</v>
      </c>
    </row>
    <row r="2" spans="1:20" x14ac:dyDescent="0.35">
      <c r="A2" t="s">
        <v>49</v>
      </c>
      <c r="B2" t="s">
        <v>160</v>
      </c>
      <c r="C2" t="s">
        <v>211</v>
      </c>
      <c r="D2" s="10">
        <v>217</v>
      </c>
      <c r="E2" s="10"/>
      <c r="F2" s="10"/>
      <c r="G2" s="10">
        <v>646</v>
      </c>
      <c r="H2" s="10"/>
      <c r="I2" s="10">
        <v>198</v>
      </c>
      <c r="J2" s="10"/>
      <c r="K2" s="10"/>
      <c r="L2" s="10">
        <v>596</v>
      </c>
      <c r="M2" s="10"/>
      <c r="N2" s="10"/>
      <c r="O2" s="10">
        <v>679</v>
      </c>
      <c r="P2" s="10">
        <v>217</v>
      </c>
      <c r="Q2" s="10"/>
      <c r="R2" s="10">
        <v>225</v>
      </c>
      <c r="T2">
        <v>7</v>
      </c>
    </row>
    <row r="3" spans="1:20" x14ac:dyDescent="0.35">
      <c r="A3" t="s">
        <v>48</v>
      </c>
      <c r="B3" t="s">
        <v>160</v>
      </c>
      <c r="C3" t="s">
        <v>216</v>
      </c>
      <c r="D3" s="10">
        <v>82</v>
      </c>
      <c r="E3" s="10"/>
      <c r="F3" s="10"/>
      <c r="G3" s="10"/>
      <c r="H3" s="10">
        <v>755</v>
      </c>
      <c r="I3" s="10">
        <v>93</v>
      </c>
      <c r="J3" s="10"/>
      <c r="K3" s="10"/>
      <c r="L3" s="10">
        <v>469</v>
      </c>
      <c r="M3" s="10"/>
      <c r="N3" s="10"/>
      <c r="O3" s="10"/>
      <c r="P3" s="10">
        <v>82</v>
      </c>
      <c r="Q3" s="10"/>
      <c r="R3" s="10">
        <v>308</v>
      </c>
      <c r="T3">
        <v>2</v>
      </c>
    </row>
    <row r="4" spans="1:20" x14ac:dyDescent="0.35">
      <c r="A4" t="s">
        <v>47</v>
      </c>
      <c r="B4" t="s">
        <v>160</v>
      </c>
      <c r="C4" t="s">
        <v>218</v>
      </c>
      <c r="D4" s="10">
        <v>102</v>
      </c>
      <c r="E4" s="10"/>
      <c r="F4" s="10">
        <v>566</v>
      </c>
      <c r="G4" s="10"/>
      <c r="H4" s="10"/>
      <c r="I4" s="10">
        <v>98</v>
      </c>
      <c r="J4" s="10">
        <v>232</v>
      </c>
      <c r="K4" s="10"/>
      <c r="L4" s="10"/>
      <c r="M4" s="10"/>
      <c r="N4" s="10">
        <v>541</v>
      </c>
      <c r="O4" s="10"/>
      <c r="P4" s="10">
        <v>112</v>
      </c>
      <c r="Q4" s="10"/>
      <c r="R4" s="10">
        <v>134</v>
      </c>
      <c r="S4">
        <v>1251</v>
      </c>
      <c r="T4">
        <v>5</v>
      </c>
    </row>
    <row r="5" spans="1:20" x14ac:dyDescent="0.35">
      <c r="A5" t="s">
        <v>60</v>
      </c>
      <c r="B5" t="s">
        <v>60</v>
      </c>
      <c r="C5" t="s">
        <v>218</v>
      </c>
      <c r="D5" s="10">
        <v>7</v>
      </c>
      <c r="E5" s="10"/>
      <c r="F5" s="10">
        <v>45</v>
      </c>
      <c r="G5" s="10"/>
      <c r="H5" s="10"/>
      <c r="I5" s="10"/>
      <c r="J5" s="10"/>
      <c r="K5" s="10"/>
      <c r="L5" s="10"/>
      <c r="M5" s="10"/>
      <c r="N5" s="10"/>
      <c r="O5" s="10"/>
      <c r="P5" s="10">
        <v>7</v>
      </c>
      <c r="Q5" s="10">
        <v>99</v>
      </c>
      <c r="R5" s="10">
        <v>412</v>
      </c>
      <c r="S5">
        <v>12</v>
      </c>
      <c r="T5">
        <v>-1</v>
      </c>
    </row>
    <row r="6" spans="1:20" x14ac:dyDescent="0.35">
      <c r="A6" t="s">
        <v>47</v>
      </c>
      <c r="B6" t="s">
        <v>160</v>
      </c>
      <c r="C6" t="s">
        <v>217</v>
      </c>
      <c r="D6" s="10">
        <v>86</v>
      </c>
      <c r="E6" s="10">
        <v>391</v>
      </c>
      <c r="F6" s="10"/>
      <c r="G6" s="10"/>
      <c r="H6" s="10"/>
      <c r="I6" s="10">
        <v>101</v>
      </c>
      <c r="J6" s="10">
        <v>197</v>
      </c>
      <c r="K6" s="10"/>
      <c r="L6" s="10"/>
      <c r="M6" s="10">
        <v>425</v>
      </c>
      <c r="N6" s="10"/>
      <c r="O6" s="10"/>
      <c r="P6" s="10">
        <v>95</v>
      </c>
      <c r="Q6" s="10"/>
      <c r="R6" s="10">
        <v>113</v>
      </c>
      <c r="S6">
        <v>1134</v>
      </c>
      <c r="T6">
        <v>3</v>
      </c>
    </row>
    <row r="7" spans="1:20" x14ac:dyDescent="0.35">
      <c r="A7" t="s">
        <v>60</v>
      </c>
      <c r="B7" t="s">
        <v>60</v>
      </c>
      <c r="C7" t="s">
        <v>217</v>
      </c>
      <c r="D7" s="10">
        <v>7</v>
      </c>
      <c r="E7" s="10">
        <v>45</v>
      </c>
      <c r="F7" s="10"/>
      <c r="G7" s="10"/>
      <c r="H7" s="10"/>
      <c r="I7" s="10"/>
      <c r="J7" s="10"/>
      <c r="K7" s="10"/>
      <c r="L7" s="10"/>
      <c r="M7" s="10"/>
      <c r="N7" s="10"/>
      <c r="O7" s="10"/>
      <c r="P7" s="10">
        <v>7</v>
      </c>
      <c r="Q7" s="10">
        <v>99</v>
      </c>
      <c r="R7" s="10">
        <v>462</v>
      </c>
      <c r="S7">
        <v>64</v>
      </c>
      <c r="T7">
        <v>-2</v>
      </c>
    </row>
  </sheetData>
  <phoneticPr fontId="2"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Budget</vt:lpstr>
      <vt:lpstr>Propositions</vt:lpstr>
      <vt:lpstr>Copropriétaires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2026-06-19T09:58:39Z</dcterms:modified>
</cp:coreProperties>
</file>